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mdes\Desktop\QuantInsti\Session 3 - MMT     - 25 jan, 08 feb, 09 feb, 15 feb\MMT 1 - 25 jan 25\MMT01-Inclass-Exercises-File\MMT01 Inclass Exercises File\"/>
    </mc:Choice>
  </mc:AlternateContent>
  <bookViews>
    <workbookView xWindow="0" yWindow="0" windowWidth="22932" windowHeight="9636" firstSheet="4" activeTab="15"/>
  </bookViews>
  <sheets>
    <sheet name="In class" sheetId="27" r:id="rId1"/>
    <sheet name="Order Routing" sheetId="25" r:id="rId2"/>
    <sheet name="Exchange" sheetId="22" r:id="rId3"/>
    <sheet name="Orderbook" sheetId="5" r:id="rId4"/>
    <sheet name="Price-Time priority" sheetId="13" r:id="rId5"/>
    <sheet name="Orderbook Structure" sheetId="23" r:id="rId6"/>
    <sheet name="Chart1" sheetId="21" r:id="rId7"/>
    <sheet name="Prob of fill" sheetId="20" r:id="rId8"/>
    <sheet name="Market Order" sheetId="15" r:id="rId9"/>
    <sheet name="Limit Order" sheetId="16" r:id="rId10"/>
    <sheet name="Stop Loss" sheetId="17" r:id="rId11"/>
    <sheet name="IOC" sheetId="18" r:id="rId12"/>
    <sheet name="Iceberg" sheetId="19" r:id="rId13"/>
    <sheet name="Pegging" sheetId="26" r:id="rId14"/>
    <sheet name="Discretion" sheetId="28" r:id="rId15"/>
    <sheet name="Pro-Rata basis" sheetId="14" r:id="rId16"/>
  </sheets>
  <calcPr calcId="162913"/>
</workbook>
</file>

<file path=xl/calcChain.xml><?xml version="1.0" encoding="utf-8"?>
<calcChain xmlns="http://schemas.openxmlformats.org/spreadsheetml/2006/main">
  <c r="H62" i="20" l="1"/>
  <c r="H61" i="20"/>
  <c r="H60" i="20"/>
  <c r="L59" i="20" l="1"/>
  <c r="C66" i="28"/>
  <c r="C67" i="28" s="1"/>
  <c r="C68" i="28" s="1"/>
  <c r="C69" i="28" s="1"/>
  <c r="C70" i="28" s="1"/>
  <c r="D53" i="20"/>
  <c r="D54" i="20" s="1"/>
  <c r="D55" i="20" s="1"/>
  <c r="D56" i="20" s="1"/>
  <c r="J54" i="13" l="1"/>
  <c r="B30" i="27" l="1"/>
  <c r="B31" i="27" l="1"/>
  <c r="E8" i="20" l="1"/>
  <c r="E7" i="20"/>
  <c r="E6" i="20"/>
  <c r="E5" i="20"/>
  <c r="B39" i="23" l="1"/>
  <c r="B38" i="23"/>
  <c r="B37" i="23"/>
  <c r="B36" i="23"/>
  <c r="B35" i="23"/>
  <c r="B34" i="23"/>
  <c r="B33" i="23"/>
  <c r="B32" i="23"/>
  <c r="B31" i="23"/>
  <c r="B30" i="23"/>
  <c r="B28" i="23"/>
  <c r="B27" i="23"/>
  <c r="B26" i="23"/>
  <c r="B25" i="23"/>
  <c r="B24" i="23"/>
  <c r="B23" i="23"/>
  <c r="B22" i="23"/>
  <c r="B21" i="23"/>
  <c r="B20" i="23"/>
  <c r="B19" i="23"/>
  <c r="C39" i="23"/>
  <c r="C38" i="23"/>
  <c r="C37" i="23"/>
  <c r="C36" i="23"/>
  <c r="C35" i="23"/>
  <c r="C34" i="23"/>
  <c r="C33" i="23"/>
  <c r="C32" i="23"/>
  <c r="C28" i="23"/>
  <c r="C27" i="23"/>
  <c r="C26" i="23"/>
  <c r="C25" i="23"/>
  <c r="C24" i="23"/>
  <c r="C23" i="23"/>
  <c r="C22" i="23"/>
  <c r="C21" i="23"/>
  <c r="C31" i="23"/>
  <c r="A31" i="23"/>
  <c r="A32" i="23" s="1"/>
  <c r="A33" i="23" s="1"/>
  <c r="A34" i="23" s="1"/>
  <c r="A35" i="23" s="1"/>
  <c r="A36" i="23" s="1"/>
  <c r="A37" i="23" s="1"/>
  <c r="A38" i="23" s="1"/>
  <c r="A39" i="23" s="1"/>
  <c r="A20" i="23"/>
  <c r="A21" i="23" s="1"/>
  <c r="A22" i="23" s="1"/>
  <c r="A23" i="23" s="1"/>
  <c r="A24" i="23" s="1"/>
  <c r="A25" i="23" s="1"/>
  <c r="A26" i="23" s="1"/>
  <c r="A27" i="23" s="1"/>
  <c r="A28" i="23" s="1"/>
  <c r="A6" i="23"/>
  <c r="A7" i="23" s="1"/>
  <c r="A8" i="23" s="1"/>
  <c r="A9" i="23" s="1"/>
  <c r="A10" i="23" s="1"/>
  <c r="A11" i="23" s="1"/>
  <c r="A12" i="23" s="1"/>
  <c r="A13" i="23" s="1"/>
  <c r="A14" i="23" s="1"/>
  <c r="C19" i="23"/>
  <c r="C20" i="23"/>
  <c r="C30" i="23"/>
  <c r="E4" i="20" l="1"/>
  <c r="D4" i="20"/>
  <c r="B36" i="20" l="1"/>
  <c r="D36" i="20" s="1"/>
  <c r="B35" i="20"/>
  <c r="D35" i="20" s="1"/>
  <c r="B34" i="20"/>
  <c r="D34" i="20" s="1"/>
  <c r="B37" i="20"/>
  <c r="D37" i="20" s="1"/>
  <c r="B33" i="20"/>
  <c r="D33" i="20" s="1"/>
</calcChain>
</file>

<file path=xl/sharedStrings.xml><?xml version="1.0" encoding="utf-8"?>
<sst xmlns="http://schemas.openxmlformats.org/spreadsheetml/2006/main" count="598" uniqueCount="274">
  <si>
    <t>Order Book</t>
  </si>
  <si>
    <t xml:space="preserve">Bid </t>
  </si>
  <si>
    <t>Ask</t>
  </si>
  <si>
    <t>Level</t>
  </si>
  <si>
    <t>10:00am</t>
  </si>
  <si>
    <t>10:05am</t>
  </si>
  <si>
    <t>Qty</t>
  </si>
  <si>
    <t>9:45am</t>
  </si>
  <si>
    <t>10:15am</t>
  </si>
  <si>
    <t>A Buy order comes in @100.1 for 10 shares</t>
  </si>
  <si>
    <t>A Sell order comes in @100.3 for 5 shares</t>
  </si>
  <si>
    <t>What happens if you place a buy order for 3 shares @ 101??</t>
  </si>
  <si>
    <t>10:30am</t>
  </si>
  <si>
    <t>You will get a fill of 3 shares at 100.3</t>
  </si>
  <si>
    <t>A Buy order comes in @99.5 for 10 shares</t>
  </si>
  <si>
    <t xml:space="preserve">Your order will have a lower priority than </t>
  </si>
  <si>
    <t>the rest of the 3 shares already at Level 2</t>
  </si>
  <si>
    <t>10:10am</t>
  </si>
  <si>
    <t>A market order to sell 4 shares comes in</t>
  </si>
  <si>
    <t>Fill for 4 shares at 100</t>
  </si>
  <si>
    <t>A market order to sell 5 shares comes in</t>
  </si>
  <si>
    <t>Fill for 1 share at 100</t>
  </si>
  <si>
    <t>A sell order comes in for 10 shares @99</t>
  </si>
  <si>
    <t>1 Fill at 100</t>
  </si>
  <si>
    <t>3 Fills at 99.5</t>
  </si>
  <si>
    <t>6 Fills at 99</t>
  </si>
  <si>
    <t>A Limit Buy order comes in @100.75 for 20 shares</t>
  </si>
  <si>
    <t>Say you have bought the share at $100</t>
  </si>
  <si>
    <t>But for loss you can't put a sell order at $95 right now because that will get executed!</t>
  </si>
  <si>
    <t>9:46am</t>
  </si>
  <si>
    <t>Stock</t>
  </si>
  <si>
    <t>Price</t>
  </si>
  <si>
    <t xml:space="preserve">Fire IOC orders: </t>
  </si>
  <si>
    <t>Bid Price</t>
  </si>
  <si>
    <t>Ask Price</t>
  </si>
  <si>
    <t>ABC</t>
  </si>
  <si>
    <t>If the market maker calculates that the fair  price is 100.2</t>
  </si>
  <si>
    <t>bid offer @ 100</t>
  </si>
  <si>
    <t>ask offer @100.4</t>
  </si>
  <si>
    <t>If a taking strategy calculates the fair price at 100.2</t>
  </si>
  <si>
    <t>It wont fire orders</t>
  </si>
  <si>
    <t>If a taking strategy calculates the fair price at 101</t>
  </si>
  <si>
    <t>Order book after the trade</t>
  </si>
  <si>
    <t>What happens if you place a sell order for 5 shares @ 99??</t>
  </si>
  <si>
    <t>If a 3rd party sell order comes in @99 for 8 shares</t>
  </si>
  <si>
    <t>the first 5 shares to get traded would be @100</t>
  </si>
  <si>
    <t>The next 3 orders that get traded would be @99.5, but they won't be our shares</t>
  </si>
  <si>
    <t>9:59am</t>
  </si>
  <si>
    <t>Fill of 15 shares at 100.5</t>
  </si>
  <si>
    <t>A Market Buy order comes in for 20 shares</t>
  </si>
  <si>
    <t>5 fill at 101</t>
  </si>
  <si>
    <t>15 fill at 100.5</t>
  </si>
  <si>
    <t>Limit sell order for 12 shares @99.2</t>
  </si>
  <si>
    <t>Fill at 100 for 5 shares</t>
  </si>
  <si>
    <t>Fill at 99.5 for 3 shares</t>
  </si>
  <si>
    <t>For take profit you can easily put a Sell limit order at $105</t>
  </si>
  <si>
    <t>1:30pm</t>
  </si>
  <si>
    <t>Limit sell stop loss order when the best ask reaches $95</t>
  </si>
  <si>
    <t>1:35pm</t>
  </si>
  <si>
    <t>Here your stop loss will get fired</t>
  </si>
  <si>
    <t>2*10/20</t>
  </si>
  <si>
    <t>6*10/20</t>
  </si>
  <si>
    <t>12*10/20</t>
  </si>
  <si>
    <t>Total shares that could have traded were 20 (Qty at level 1+qty at level 2 + qty at level 3)</t>
  </si>
  <si>
    <t>A sell order comes in for 4 shares @99.5</t>
  </si>
  <si>
    <t>2*4/8</t>
  </si>
  <si>
    <t>6*4/8</t>
  </si>
  <si>
    <t>1 fill</t>
  </si>
  <si>
    <t>3 fills</t>
  </si>
  <si>
    <t>---&gt;</t>
  </si>
  <si>
    <t>10:00:00am</t>
  </si>
  <si>
    <t>10:00:0.5</t>
  </si>
  <si>
    <t>Exchange will cancel your whole order and you will not get a partial fill</t>
  </si>
  <si>
    <t>Fire an IOC order for 20 shares @100.1</t>
  </si>
  <si>
    <t>You will get a partial fill of 15 shares @100.1 and rest of the 5 shares will get cancelled</t>
  </si>
  <si>
    <t>Iceberg</t>
  </si>
  <si>
    <t>A marketable Buy limit order would mean you have fired a limit order with price = 100.5</t>
  </si>
  <si>
    <t>Bid-ask spread</t>
  </si>
  <si>
    <t>Gains</t>
  </si>
  <si>
    <t>EXCHANGE</t>
  </si>
  <si>
    <t>Orders coming in</t>
  </si>
  <si>
    <t>Buyers/Sellers</t>
  </si>
  <si>
    <t>Prices</t>
  </si>
  <si>
    <t>You will get a fill of 5 shares at 100.1</t>
  </si>
  <si>
    <t>Bid</t>
  </si>
  <si>
    <t>Cqty</t>
  </si>
  <si>
    <t>Strategy</t>
  </si>
  <si>
    <t>Order Router</t>
  </si>
  <si>
    <t>Market Adapter</t>
  </si>
  <si>
    <t>At the buy side</t>
  </si>
  <si>
    <t>Pegging order: is a limit order where the price of the order is dependent on the price of a particluar level of the Order book</t>
  </si>
  <si>
    <t>An order that is pegged at say Level 1</t>
  </si>
  <si>
    <t>Whatever the best bid is: I will fire an order 1 tick (5 cents more than the best bid), I will not consider my own bid when evaluating the best bid</t>
  </si>
  <si>
    <t>My order is pegged at level 1 bid</t>
  </si>
  <si>
    <t>Example 1</t>
  </si>
  <si>
    <t>Example 2</t>
  </si>
  <si>
    <t>I will therefore fire my order at 100.05!!</t>
  </si>
  <si>
    <t>pegged at 2nd level--&gt; I will fire the order at 99.55</t>
  </si>
  <si>
    <t>An order that is pegged at say Level 2</t>
  </si>
  <si>
    <t>Whatever the second best bid is: I will fire an order 1 tick (5 cents more than the second best bid)</t>
  </si>
  <si>
    <t>My order is pegged at level 2 bid</t>
  </si>
  <si>
    <t>I will therefore fire my order at 99.55!!</t>
  </si>
  <si>
    <t>My order was pegged to Level 2 (5 cents above the 2nd Level)</t>
  </si>
  <si>
    <t>Here I will fire an order at 100.05</t>
  </si>
  <si>
    <t>ALGO TRADING FIRM</t>
  </si>
  <si>
    <t>Two Main stakeholder</t>
  </si>
  <si>
    <t>Traders/Investors</t>
  </si>
  <si>
    <t>Hedge Fund Singapore</t>
  </si>
  <si>
    <t>Monday</t>
  </si>
  <si>
    <t>Broker A</t>
  </si>
  <si>
    <t>Broker B</t>
  </si>
  <si>
    <t>Brokers/Institutions</t>
  </si>
  <si>
    <t>BUY</t>
  </si>
  <si>
    <t>SELL</t>
  </si>
  <si>
    <t>Assumption</t>
  </si>
  <si>
    <t>Structure of Order book on Buy Side and Sell Side</t>
  </si>
  <si>
    <t>Say the lag in the broker's terminal is 10 milliseconds</t>
  </si>
  <si>
    <t>10:10.0001 removed buy order of 5 shares from 99.5 and moved them to 99</t>
  </si>
  <si>
    <t>So you will place a special instruction with the broker that as soon as the market best ask/bid reaches $95 you fire a sell order at $95</t>
  </si>
  <si>
    <t>SBIN</t>
  </si>
  <si>
    <t>PNB</t>
  </si>
  <si>
    <t>Buy order for SBIN @100.1</t>
  </si>
  <si>
    <t>Sell order for PNB @100.15</t>
  </si>
  <si>
    <t>Fire an FOK buy order for 20 shares @100.1</t>
  </si>
  <si>
    <t>Discretion order</t>
  </si>
  <si>
    <t>Example:</t>
  </si>
  <si>
    <t>You fire a Buy limit order at 100, with a discretion range of 10 cents</t>
  </si>
  <si>
    <t>With a discretion range of 10 cents</t>
  </si>
  <si>
    <t>Then your discretion range will be used, and your order will be modfied to 100.1, so that it gets executed!</t>
  </si>
  <si>
    <t>Think in term of Expected Value</t>
  </si>
  <si>
    <t>Case 1: No discretion range is used.</t>
  </si>
  <si>
    <t>Case 2: Discretion range of 10 cents is used.</t>
  </si>
  <si>
    <t>Given:</t>
  </si>
  <si>
    <t xml:space="preserve">EV for Case 1: </t>
  </si>
  <si>
    <t>0.5 is the prob of getting a trade at best bid</t>
  </si>
  <si>
    <t>EV = prob of getting traded * profit of trade</t>
  </si>
  <si>
    <t>profit= fair price - traded price</t>
  </si>
  <si>
    <t>(buy )</t>
  </si>
  <si>
    <t>=0.5 * 0.25</t>
  </si>
  <si>
    <t>=0.125</t>
  </si>
  <si>
    <t xml:space="preserve">EV for Case 2: </t>
  </si>
  <si>
    <t>=1 * 0.15</t>
  </si>
  <si>
    <t>=0.15</t>
  </si>
  <si>
    <t>Objective: To increase the PnL</t>
  </si>
  <si>
    <t>Objective: Increase profits + manage risks</t>
  </si>
  <si>
    <t>EV</t>
  </si>
  <si>
    <t>And now you want to exectue a take profit and stop loss at $5</t>
  </si>
  <si>
    <t>FOK Orders</t>
  </si>
  <si>
    <t>IOC Orders</t>
  </si>
  <si>
    <t>What is the benefit of this?</t>
  </si>
  <si>
    <t>$200 million/week</t>
  </si>
  <si>
    <t>Buy Securities worth</t>
  </si>
  <si>
    <t>$100 million</t>
  </si>
  <si>
    <t xml:space="preserve">$100 million </t>
  </si>
  <si>
    <t>The total traded value in a week is $200 million</t>
  </si>
  <si>
    <t>$ per week</t>
  </si>
  <si>
    <t>$ per year</t>
  </si>
  <si>
    <t>You send a buy order@99.7 for 2 shares</t>
  </si>
  <si>
    <t>Trade@</t>
  </si>
  <si>
    <t>Fair Price</t>
  </si>
  <si>
    <t>profit is 25 cents</t>
  </si>
  <si>
    <t>Then my expected profit is:</t>
  </si>
  <si>
    <t>=C14*B14</t>
  </si>
  <si>
    <t>From the ticks you can get the orderbook</t>
  </si>
  <si>
    <t>For each trade--&gt; from the order book you know at what level that trade occured</t>
  </si>
  <si>
    <t>Level 1</t>
  </si>
  <si>
    <t>Level 2</t>
  </si>
  <si>
    <t>Level 3</t>
  </si>
  <si>
    <t>..</t>
  </si>
  <si>
    <t>…</t>
  </si>
  <si>
    <t>Benefit of IOC</t>
  </si>
  <si>
    <t>I will either get both legs of my order executed, or none get executed!</t>
  </si>
  <si>
    <t>If the order at 100 moves to 100.1, then I would modify my order to 100.15!!</t>
  </si>
  <si>
    <t>If a new order enters at 100.2 , then I would modify my order to 100.05!!</t>
  </si>
  <si>
    <t>You would give the broker/code a discretion: that it can modify the price of an order by a certain amount if it can get traded!</t>
  </si>
  <si>
    <t>Your code knows that it can modify the price till 100.1, if there is an ask at that price!!</t>
  </si>
  <si>
    <t>profit</t>
  </si>
  <si>
    <t>100.25-100</t>
  </si>
  <si>
    <t>prob</t>
  </si>
  <si>
    <t>100.25-100.1</t>
  </si>
  <si>
    <t>Generating HYPOTHESIS (FINANCE)</t>
  </si>
  <si>
    <t>Brokers, clearing houses,Exchanges</t>
  </si>
  <si>
    <t>ORDERS</t>
  </si>
  <si>
    <t>Prob. of getting a fill</t>
  </si>
  <si>
    <t>It won't happen that I am left with either a long SBIN or a short PNB</t>
  </si>
  <si>
    <t>Hedge Fund's Returns:</t>
  </si>
  <si>
    <t>Broker 1 parses the feed/punches the order in 2 microseconds</t>
  </si>
  <si>
    <t>Broker 2 parses the feed/punches the order in 4 microseconds</t>
  </si>
  <si>
    <t xml:space="preserve">  </t>
  </si>
  <si>
    <t>prob of getting a fill at level 2 = 250000/1000000</t>
  </si>
  <si>
    <t>Send a market order for selling 9 shares @10:10.001</t>
  </si>
  <si>
    <t>5 shares that were first to come @99, they will get traded!!!</t>
  </si>
  <si>
    <t>CASE 1</t>
  </si>
  <si>
    <t>CASE 2</t>
  </si>
  <si>
    <t>Step 1</t>
  </si>
  <si>
    <t>Step 2</t>
  </si>
  <si>
    <t>Case 1: Trade at Best Bid</t>
  </si>
  <si>
    <r>
      <t xml:space="preserve">if the prob of getting a trade </t>
    </r>
    <r>
      <rPr>
        <b/>
        <sz val="11"/>
        <color theme="1"/>
        <rFont val="Calibri"/>
        <family val="2"/>
        <scheme val="minor"/>
      </rPr>
      <t>@100 is 0.5</t>
    </r>
  </si>
  <si>
    <t>Case 2: Trade at 2nd Best Bid</t>
  </si>
  <si>
    <t>profit is 75 cents</t>
  </si>
  <si>
    <t>10,00,000 qty was traded</t>
  </si>
  <si>
    <t>Fill for 4 share at 99.5</t>
  </si>
  <si>
    <t>Fill for 4 shares at 99.5 and 5 shares at 99</t>
  </si>
  <si>
    <t>Book Profit: You want to sell the stock if the market prices reaches $105</t>
  </si>
  <si>
    <t>Book Loss: You want to sell the stock if the market price reaches $95</t>
  </si>
  <si>
    <t>Broker and You</t>
  </si>
  <si>
    <t>Broker (Could be in-house too)</t>
  </si>
  <si>
    <t>You</t>
  </si>
  <si>
    <t>10:00am : You fire a sell order @100.05 for QTY 100 with some hidden qty (iceberg order)</t>
  </si>
  <si>
    <t>Total qty was 100 (There is only one trader with the iceberg)</t>
  </si>
  <si>
    <t>Qty (displayed)</t>
  </si>
  <si>
    <t>Iceberg order at 100.05 with a qty greater than 15 shares!!!</t>
  </si>
  <si>
    <t>I get a fill at 100.05 for all 15 shares</t>
  </si>
  <si>
    <t>Total qty left is 85</t>
  </si>
  <si>
    <t>Fair price is 100.25 (As calculated by your strategy)</t>
  </si>
  <si>
    <t>ORDER BOOK of SBIN</t>
  </si>
  <si>
    <t>ORDER BOOK of PNB</t>
  </si>
  <si>
    <t>Ques: If I have to buy this stock at the best possible price, what price should I place my order at to maximize the profit?</t>
  </si>
  <si>
    <r>
      <t xml:space="preserve">if the prob of getting a trade </t>
    </r>
    <r>
      <rPr>
        <b/>
        <sz val="11"/>
        <color theme="1"/>
        <rFont val="Calibri"/>
        <family val="2"/>
        <scheme val="minor"/>
      </rPr>
      <t>@99.5 is 0.25</t>
    </r>
  </si>
  <si>
    <t>Individuals/Corporates:</t>
  </si>
  <si>
    <t>Institutions:</t>
  </si>
  <si>
    <t>Sell order comes @ 99 for qty 40</t>
  </si>
  <si>
    <t>@ Level 1: 5 shares got traded</t>
  </si>
  <si>
    <t>@ Level 2: 10 shares got traded</t>
  </si>
  <si>
    <t>@ Level 3: 25 shares got traded</t>
  </si>
  <si>
    <t>saves 1 cent per $100 traded more than Broker B</t>
  </si>
  <si>
    <t>Broker A is 1bps better than Broker B</t>
  </si>
  <si>
    <t>Their returns would be x% +0.01% with broker A</t>
  </si>
  <si>
    <t>1 bps is known as the broker alpha</t>
  </si>
  <si>
    <t>Eg: if a market maker calculates the fair price of asset as $100</t>
  </si>
  <si>
    <t>So he would send a buy order at say $99.5 and a sell order at $100.5</t>
  </si>
  <si>
    <t>Avg Trade Price</t>
  </si>
  <si>
    <t>prob of getting a fill at level 1 = 500000/1000000</t>
  </si>
  <si>
    <t>Market makers: They have strategies to determine the fair price of an asset (most of them would definitely use order book data to calcuate the fair price)</t>
  </si>
  <si>
    <t>EXECUTION (CODING and FINANCE)</t>
  </si>
  <si>
    <t>BACK-TEST (STATS and CODING)</t>
  </si>
  <si>
    <t>Fair price (As calculated by the strategy)</t>
  </si>
  <si>
    <t>Assumption: Our Strategy has calculated the fair price as 100.25 and we will calculate the profits of our open positions from the the fair price.</t>
  </si>
  <si>
    <t>(As calculated by Strategy)</t>
  </si>
  <si>
    <t>If I place a BUY order above 10% of the best ASK (or at Rs. 110) for 10 shares, What will be the best Ask price?</t>
  </si>
  <si>
    <t>The first 3 levels will get traded and therefore,</t>
  </si>
  <si>
    <t>The best Ask would be at 102 with 1 Qty left!</t>
  </si>
  <si>
    <t>If I place a SELL order below 10% of the best BID (or at Rs. 90) for 10 shares, What will be the best BUY price?</t>
  </si>
  <si>
    <t>Question1</t>
  </si>
  <si>
    <t>Question2</t>
  </si>
  <si>
    <t>The first 4 levels will get traded and therefore,</t>
  </si>
  <si>
    <t>The best BID would be at 99.6 with 5 Qty left!</t>
  </si>
  <si>
    <t>So this order removed $1 (102-101) from the top level!!</t>
  </si>
  <si>
    <t>This order only removed $0.4 (100-99.6) from the top level!!</t>
  </si>
  <si>
    <t>=0.5*25cents</t>
  </si>
  <si>
    <t>=0.25*75cents</t>
  </si>
  <si>
    <t>profit of trade</t>
  </si>
  <si>
    <t>EV for Case 1: (if I put a limit order at 100.1)</t>
  </si>
  <si>
    <t>EV for Case 2:  (if I put a limit order at 100)</t>
  </si>
  <si>
    <t>=0.8 * 0.15</t>
  </si>
  <si>
    <t>=0.12</t>
  </si>
  <si>
    <t>Qty Traded</t>
  </si>
  <si>
    <t>Price Traded</t>
  </si>
  <si>
    <t>-----&gt;</t>
  </si>
  <si>
    <t>Average Trade Price</t>
  </si>
  <si>
    <t>If some trader fires a buy order @100.1 for 15 shares</t>
  </si>
  <si>
    <t xml:space="preserve">And he gets a fill of 15 shares at 100.05 </t>
  </si>
  <si>
    <t>(Exchange will broadcast this information)</t>
  </si>
  <si>
    <t>Qty at level*order qty/total qty at all the levels the order would have interacted</t>
  </si>
  <si>
    <t xml:space="preserve">PRO RATA BASIS Matching in ORDER BOOK </t>
  </si>
  <si>
    <t>SBIN, Buy order, Price $100, Qty 8</t>
  </si>
  <si>
    <t>SBIN, Buy order, Price $99, Qty 4</t>
  </si>
  <si>
    <t>SBIN, Buy order, Price $98.5, Qty 4</t>
  </si>
  <si>
    <t>PNB, BUY order, Price $399, Qty 6</t>
  </si>
  <si>
    <t>SBIN, Sell order, Price $101.5, Qty 5</t>
  </si>
  <si>
    <t>SBIN, Sell order, Price $102, Qty 1</t>
  </si>
  <si>
    <t>PNB, Sell order, Price $400, Qty 10</t>
  </si>
  <si>
    <t>SBIN, Buy order, Price $97.5, Qty 3</t>
  </si>
  <si>
    <t>SBIN, Sell order, Price $103, Qty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</si>
</sst>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#,##0_);[Red]\(&quot;$&quot;#,##0\)"/>
    <numFmt numFmtId="165" formatCode="_(* #,##0.00_);_(* \(#,##0.00\);_(* &quot;-&quot;??_);_(@_)"/>
    <numFmt numFmtId="166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54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0" fillId="0" borderId="0" xfId="0" applyFont="1"/>
    <xf numFmtId="0" fontId="0" fillId="2" borderId="0" xfId="0" applyFill="1"/>
    <xf numFmtId="0" fontId="0" fillId="2" borderId="0" xfId="0" applyFont="1" applyFill="1"/>
    <xf numFmtId="0" fontId="0" fillId="3" borderId="0" xfId="0" applyFill="1"/>
    <xf numFmtId="0" fontId="0" fillId="0" borderId="0" xfId="0" quotePrefix="1"/>
    <xf numFmtId="47" fontId="0" fillId="0" borderId="0" xfId="0" quotePrefix="1" applyNumberFormat="1"/>
    <xf numFmtId="21" fontId="1" fillId="0" borderId="0" xfId="0" applyNumberFormat="1" applyFont="1"/>
    <xf numFmtId="0" fontId="0" fillId="0" borderId="0" xfId="0" applyFont="1" applyFill="1"/>
    <xf numFmtId="0" fontId="0" fillId="0" borderId="0" xfId="0" applyAlignment="1">
      <alignment horizontal="right"/>
    </xf>
    <xf numFmtId="164" fontId="1" fillId="0" borderId="0" xfId="0" applyNumberFormat="1" applyFont="1"/>
    <xf numFmtId="166" fontId="0" fillId="0" borderId="0" xfId="1" applyNumberFormat="1" applyFont="1"/>
    <xf numFmtId="0" fontId="1" fillId="3" borderId="0" xfId="0" applyFont="1" applyFill="1"/>
    <xf numFmtId="0" fontId="0" fillId="4" borderId="0" xfId="0" applyFill="1"/>
    <xf numFmtId="0" fontId="3" fillId="3" borderId="0" xfId="0" applyFont="1" applyFill="1"/>
    <xf numFmtId="0" fontId="1" fillId="4" borderId="0" xfId="0" applyFont="1" applyFill="1"/>
    <xf numFmtId="0" fontId="1" fillId="2" borderId="0" xfId="0" applyFont="1" applyFill="1"/>
    <xf numFmtId="0" fontId="0" fillId="0" borderId="0" xfId="0" applyBorder="1"/>
    <xf numFmtId="0" fontId="1" fillId="0" borderId="0" xfId="0" applyFont="1" applyBorder="1"/>
    <xf numFmtId="0" fontId="0" fillId="0" borderId="0" xfId="0" quotePrefix="1" applyBorder="1"/>
    <xf numFmtId="0" fontId="1" fillId="0" borderId="0" xfId="0" quotePrefix="1" applyFont="1"/>
    <xf numFmtId="20" fontId="0" fillId="0" borderId="0" xfId="0" applyNumberFormat="1" applyAlignment="1">
      <alignment horizontal="left"/>
    </xf>
    <xf numFmtId="0" fontId="0" fillId="3" borderId="0" xfId="0" quotePrefix="1" applyFill="1"/>
    <xf numFmtId="20" fontId="0" fillId="0" borderId="0" xfId="0" applyNumberFormat="1"/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0" borderId="0" xfId="0" applyFont="1"/>
    <xf numFmtId="0" fontId="0" fillId="3" borderId="0" xfId="0" applyFont="1" applyFill="1"/>
    <xf numFmtId="0" fontId="1" fillId="0" borderId="4" xfId="0" applyFont="1" applyBorder="1"/>
    <xf numFmtId="0" fontId="0" fillId="0" borderId="9" xfId="0" applyBorder="1"/>
    <xf numFmtId="0" fontId="6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Alignment="1">
      <alignment vertical="center" wrapText="1"/>
    </xf>
    <xf numFmtId="0" fontId="9" fillId="0" borderId="0" xfId="0" applyFont="1" applyFill="1"/>
    <xf numFmtId="0" fontId="10" fillId="0" borderId="0" xfId="2" quotePrefix="1" applyFont="1"/>
    <xf numFmtId="3" fontId="0" fillId="0" borderId="0" xfId="0" applyNumberFormat="1"/>
    <xf numFmtId="0" fontId="6" fillId="0" borderId="0" xfId="0" applyFont="1" applyAlignment="1">
      <alignment horizontal="center"/>
    </xf>
    <xf numFmtId="0" fontId="0" fillId="0" borderId="0" xfId="0"/>
    <xf numFmtId="0" fontId="1" fillId="0" borderId="0" xfId="0" applyFont="1"/>
    <xf numFmtId="0" fontId="0" fillId="0" borderId="0" xfId="0" quotePrefix="1"/>
    <xf numFmtId="166" fontId="1" fillId="0" borderId="0" xfId="1" applyNumberFormat="1" applyFont="1"/>
    <xf numFmtId="0" fontId="1" fillId="0" borderId="7" xfId="0" applyFont="1" applyBorder="1" applyAlignment="1">
      <alignment horizont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'Orderbook Structure'!$B$19:$B$39</c:f>
              <c:numCache>
                <c:formatCode>General</c:formatCode>
                <c:ptCount val="21"/>
                <c:pt idx="0">
                  <c:v>101</c:v>
                </c:pt>
                <c:pt idx="1">
                  <c:v>101.25</c:v>
                </c:pt>
                <c:pt idx="2">
                  <c:v>101.5</c:v>
                </c:pt>
                <c:pt idx="3">
                  <c:v>102</c:v>
                </c:pt>
                <c:pt idx="4">
                  <c:v>102.5</c:v>
                </c:pt>
                <c:pt idx="5">
                  <c:v>103</c:v>
                </c:pt>
                <c:pt idx="6">
                  <c:v>104</c:v>
                </c:pt>
                <c:pt idx="7">
                  <c:v>104.5</c:v>
                </c:pt>
                <c:pt idx="8">
                  <c:v>105</c:v>
                </c:pt>
                <c:pt idx="9">
                  <c:v>106</c:v>
                </c:pt>
                <c:pt idx="11">
                  <c:v>100</c:v>
                </c:pt>
                <c:pt idx="12">
                  <c:v>99.75</c:v>
                </c:pt>
                <c:pt idx="13">
                  <c:v>99.6</c:v>
                </c:pt>
                <c:pt idx="14">
                  <c:v>99.25</c:v>
                </c:pt>
                <c:pt idx="15">
                  <c:v>98.8</c:v>
                </c:pt>
                <c:pt idx="16">
                  <c:v>98.5</c:v>
                </c:pt>
                <c:pt idx="17">
                  <c:v>98.35</c:v>
                </c:pt>
                <c:pt idx="18">
                  <c:v>98</c:v>
                </c:pt>
                <c:pt idx="19">
                  <c:v>97.8</c:v>
                </c:pt>
                <c:pt idx="20">
                  <c:v>97.5</c:v>
                </c:pt>
              </c:numCache>
            </c:numRef>
          </c:xVal>
          <c:yVal>
            <c:numRef>
              <c:f>'Orderbook Structure'!$C$19:$C$39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16</c:v>
                </c:pt>
                <c:pt idx="6">
                  <c:v>22</c:v>
                </c:pt>
                <c:pt idx="7">
                  <c:v>29</c:v>
                </c:pt>
                <c:pt idx="8">
                  <c:v>37</c:v>
                </c:pt>
                <c:pt idx="9">
                  <c:v>46</c:v>
                </c:pt>
                <c:pt idx="11">
                  <c:v>2</c:v>
                </c:pt>
                <c:pt idx="12">
                  <c:v>7</c:v>
                </c:pt>
                <c:pt idx="13">
                  <c:v>15</c:v>
                </c:pt>
                <c:pt idx="14">
                  <c:v>25</c:v>
                </c:pt>
                <c:pt idx="15">
                  <c:v>34</c:v>
                </c:pt>
                <c:pt idx="16">
                  <c:v>45</c:v>
                </c:pt>
                <c:pt idx="17">
                  <c:v>60</c:v>
                </c:pt>
                <c:pt idx="18">
                  <c:v>67</c:v>
                </c:pt>
                <c:pt idx="19">
                  <c:v>76</c:v>
                </c:pt>
                <c:pt idx="20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7-4087-A51F-808F6EB19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84672"/>
        <c:axId val="220686592"/>
      </c:scatterChart>
      <c:valAx>
        <c:axId val="220684672"/>
        <c:scaling>
          <c:orientation val="minMax"/>
          <c:max val="105"/>
          <c:min val="9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0686592"/>
        <c:crosses val="autoZero"/>
        <c:crossBetween val="midCat"/>
        <c:majorUnit val="2"/>
        <c:minorUnit val="0.5"/>
      </c:valAx>
      <c:valAx>
        <c:axId val="220686592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CQTY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0684672"/>
        <c:crosses val="autoZero"/>
        <c:crossBetween val="midCat"/>
        <c:majorUnit val="20"/>
        <c:minorUnit val="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Prob vs Gain</c:v>
          </c:tx>
          <c:marker>
            <c:symbol val="none"/>
          </c:marker>
          <c:cat>
            <c:numRef>
              <c:f>'Prob of fill'!$B$33:$B$37</c:f>
              <c:numCache>
                <c:formatCode>General</c:formatCode>
                <c:ptCount val="5"/>
                <c:pt idx="0">
                  <c:v>0.25</c:v>
                </c:pt>
                <c:pt idx="1">
                  <c:v>0.75</c:v>
                </c:pt>
                <c:pt idx="2">
                  <c:v>1.25</c:v>
                </c:pt>
                <c:pt idx="3">
                  <c:v>2</c:v>
                </c:pt>
                <c:pt idx="4">
                  <c:v>2.25</c:v>
                </c:pt>
              </c:numCache>
            </c:numRef>
          </c:cat>
          <c:val>
            <c:numRef>
              <c:f>'Prob of fill'!$C$33:$C$37</c:f>
              <c:numCache>
                <c:formatCode>General</c:formatCode>
                <c:ptCount val="5"/>
                <c:pt idx="0">
                  <c:v>0.5</c:v>
                </c:pt>
                <c:pt idx="1">
                  <c:v>0.25</c:v>
                </c:pt>
                <c:pt idx="2">
                  <c:v>0.1</c:v>
                </c:pt>
                <c:pt idx="3">
                  <c:v>0.04</c:v>
                </c:pt>
                <c:pt idx="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7-43E4-8EDB-38F76854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5712000"/>
        <c:axId val="225713536"/>
      </c:lineChart>
      <c:catAx>
        <c:axId val="22571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5713536"/>
        <c:crosses val="autoZero"/>
        <c:auto val="1"/>
        <c:lblAlgn val="ctr"/>
        <c:lblOffset val="100"/>
        <c:noMultiLvlLbl val="0"/>
      </c:catAx>
      <c:valAx>
        <c:axId val="22571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71200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6"/>
  <sheetViews>
    <sheetView zoomScale="116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107950</xdr:colOff>
      <xdr:row>10</xdr:row>
      <xdr:rowOff>25400</xdr:rowOff>
    </xdr:from>
    <xdr:to>
      <xdr:col>5</xdr:col>
      <xdr:colOff>419100</xdr:colOff>
      <xdr:row>13</xdr:row>
      <xdr:rowOff>12700</xdr:rowOff>
    </xdr:to>
    <xdr:sp macro="" textlink="">
      <xdr:nvSpPr>
        <xdr:cNvPr id="2" name="Rounded Rectangle 1"/>
        <xdr:cNvSpPr/>
      </xdr:nvSpPr>
      <xdr:spPr>
        <a:xfrm>
          <a:off x="1936750" y="1930400"/>
          <a:ext cx="1530350" cy="5588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393700</xdr:colOff>
      <xdr:row>11</xdr:row>
      <xdr:rowOff>114300</xdr:rowOff>
    </xdr:from>
    <xdr:to>
      <xdr:col>3</xdr:col>
      <xdr:colOff>450850</xdr:colOff>
      <xdr:row>18</xdr:row>
      <xdr:rowOff>114300</xdr:rowOff>
    </xdr:to>
    <xdr:grpSp>
      <xdr:nvGrpSpPr>
        <xdr:cNvPr id="18" name="Group 17"/>
        <xdr:cNvGrpSpPr/>
      </xdr:nvGrpSpPr>
      <xdr:grpSpPr>
        <a:xfrm>
          <a:off x="2012950" y="2209800"/>
          <a:ext cx="666750" cy="1333500"/>
          <a:chOff x="1612900" y="2209800"/>
          <a:chExt cx="666750" cy="1333500"/>
        </a:xfrm>
      </xdr:grpSpPr>
      <xdr:cxnSp macro="">
        <xdr:nvCxnSpPr>
          <xdr:cNvPr id="8" name="Elbow Connector 7"/>
          <xdr:cNvCxnSpPr>
            <a:stCxn id="2" idx="1"/>
          </xdr:cNvCxnSpPr>
        </xdr:nvCxnSpPr>
        <xdr:spPr>
          <a:xfrm rot="10800000" flipV="1">
            <a:off x="1612900" y="2209800"/>
            <a:ext cx="323850" cy="1333500"/>
          </a:xfrm>
          <a:prstGeom prst="bentConnector2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Arrow Connector 9"/>
          <xdr:cNvCxnSpPr/>
        </xdr:nvCxnSpPr>
        <xdr:spPr>
          <a:xfrm rot="60000" flipV="1">
            <a:off x="1619250" y="3530600"/>
            <a:ext cx="660400" cy="12700"/>
          </a:xfrm>
          <a:prstGeom prst="straightConnector1">
            <a:avLst/>
          </a:prstGeom>
          <a:ln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450850</xdr:colOff>
      <xdr:row>17</xdr:row>
      <xdr:rowOff>57150</xdr:rowOff>
    </xdr:from>
    <xdr:to>
      <xdr:col>5</xdr:col>
      <xdr:colOff>158750</xdr:colOff>
      <xdr:row>19</xdr:row>
      <xdr:rowOff>146050</xdr:rowOff>
    </xdr:to>
    <xdr:sp macro="" textlink="">
      <xdr:nvSpPr>
        <xdr:cNvPr id="12" name="Rounded Rectangle 11"/>
        <xdr:cNvSpPr/>
      </xdr:nvSpPr>
      <xdr:spPr>
        <a:xfrm>
          <a:off x="2279650" y="3295650"/>
          <a:ext cx="927100" cy="4699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177800</xdr:colOff>
      <xdr:row>14</xdr:row>
      <xdr:rowOff>158750</xdr:rowOff>
    </xdr:from>
    <xdr:to>
      <xdr:col>7</xdr:col>
      <xdr:colOff>114300</xdr:colOff>
      <xdr:row>16</xdr:row>
      <xdr:rowOff>76200</xdr:rowOff>
    </xdr:to>
    <xdr:sp macro="" textlink="">
      <xdr:nvSpPr>
        <xdr:cNvPr id="24" name="Rectangle 23"/>
        <xdr:cNvSpPr/>
      </xdr:nvSpPr>
      <xdr:spPr>
        <a:xfrm>
          <a:off x="3835400" y="2825750"/>
          <a:ext cx="546100" cy="298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88900</xdr:colOff>
      <xdr:row>14</xdr:row>
      <xdr:rowOff>139700</xdr:rowOff>
    </xdr:from>
    <xdr:to>
      <xdr:col>3</xdr:col>
      <xdr:colOff>38100</xdr:colOff>
      <xdr:row>16</xdr:row>
      <xdr:rowOff>57150</xdr:rowOff>
    </xdr:to>
    <xdr:sp macro="" textlink="">
      <xdr:nvSpPr>
        <xdr:cNvPr id="25" name="Rectangle 24"/>
        <xdr:cNvSpPr/>
      </xdr:nvSpPr>
      <xdr:spPr>
        <a:xfrm>
          <a:off x="1308100" y="2806700"/>
          <a:ext cx="558800" cy="298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603250</xdr:colOff>
      <xdr:row>14</xdr:row>
      <xdr:rowOff>0</xdr:rowOff>
    </xdr:from>
    <xdr:to>
      <xdr:col>8</xdr:col>
      <xdr:colOff>19050</xdr:colOff>
      <xdr:row>20</xdr:row>
      <xdr:rowOff>25400</xdr:rowOff>
    </xdr:to>
    <xdr:sp macro="" textlink="">
      <xdr:nvSpPr>
        <xdr:cNvPr id="3" name="Rectangle 2"/>
        <xdr:cNvSpPr/>
      </xdr:nvSpPr>
      <xdr:spPr>
        <a:xfrm>
          <a:off x="603250" y="2667000"/>
          <a:ext cx="5105400" cy="977900"/>
        </a:xfrm>
        <a:prstGeom prst="rect">
          <a:avLst/>
        </a:prstGeom>
        <a:noFill/>
        <a:ln w="12700"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336550</xdr:colOff>
      <xdr:row>5</xdr:row>
      <xdr:rowOff>31750</xdr:rowOff>
    </xdr:from>
    <xdr:to>
      <xdr:col>0</xdr:col>
      <xdr:colOff>596900</xdr:colOff>
      <xdr:row>5</xdr:row>
      <xdr:rowOff>171450</xdr:rowOff>
    </xdr:to>
    <xdr:sp macro="" textlink="">
      <xdr:nvSpPr>
        <xdr:cNvPr id="14" name="Rectangle 13"/>
        <xdr:cNvSpPr/>
      </xdr:nvSpPr>
      <xdr:spPr>
        <a:xfrm>
          <a:off x="336550" y="984250"/>
          <a:ext cx="260350" cy="139700"/>
        </a:xfrm>
        <a:prstGeom prst="rect">
          <a:avLst/>
        </a:prstGeom>
        <a:noFill/>
        <a:ln w="12700">
          <a:solidFill>
            <a:schemeClr val="tx1"/>
          </a:soli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317500</xdr:colOff>
      <xdr:row>6</xdr:row>
      <xdr:rowOff>25400</xdr:rowOff>
    </xdr:from>
    <xdr:to>
      <xdr:col>0</xdr:col>
      <xdr:colOff>596900</xdr:colOff>
      <xdr:row>6</xdr:row>
      <xdr:rowOff>177800</xdr:rowOff>
    </xdr:to>
    <xdr:sp macro="" textlink="">
      <xdr:nvSpPr>
        <xdr:cNvPr id="15" name="Rectangle 14"/>
        <xdr:cNvSpPr/>
      </xdr:nvSpPr>
      <xdr:spPr>
        <a:xfrm>
          <a:off x="317500" y="1168400"/>
          <a:ext cx="279400" cy="152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330200</xdr:colOff>
      <xdr:row>7</xdr:row>
      <xdr:rowOff>44450</xdr:rowOff>
    </xdr:from>
    <xdr:to>
      <xdr:col>0</xdr:col>
      <xdr:colOff>577850</xdr:colOff>
      <xdr:row>7</xdr:row>
      <xdr:rowOff>158750</xdr:rowOff>
    </xdr:to>
    <xdr:sp macro="" textlink="">
      <xdr:nvSpPr>
        <xdr:cNvPr id="16" name="Rounded Rectangle 15"/>
        <xdr:cNvSpPr/>
      </xdr:nvSpPr>
      <xdr:spPr>
        <a:xfrm>
          <a:off x="330200" y="1377950"/>
          <a:ext cx="247650" cy="114300"/>
        </a:xfrm>
        <a:prstGeom prst="round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158750</xdr:colOff>
      <xdr:row>16</xdr:row>
      <xdr:rowOff>76200</xdr:rowOff>
    </xdr:from>
    <xdr:to>
      <xdr:col>6</xdr:col>
      <xdr:colOff>457200</xdr:colOff>
      <xdr:row>18</xdr:row>
      <xdr:rowOff>101600</xdr:rowOff>
    </xdr:to>
    <xdr:cxnSp macro="">
      <xdr:nvCxnSpPr>
        <xdr:cNvPr id="28" name="Elbow Connector 27"/>
        <xdr:cNvCxnSpPr>
          <a:stCxn id="12" idx="3"/>
          <a:endCxn id="24" idx="2"/>
        </xdr:cNvCxnSpPr>
      </xdr:nvCxnSpPr>
      <xdr:spPr>
        <a:xfrm flipV="1">
          <a:off x="3606800" y="3124200"/>
          <a:ext cx="908050" cy="406400"/>
        </a:xfrm>
        <a:prstGeom prst="bentConnector2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11</xdr:row>
      <xdr:rowOff>114300</xdr:rowOff>
    </xdr:from>
    <xdr:to>
      <xdr:col>6</xdr:col>
      <xdr:colOff>457200</xdr:colOff>
      <xdr:row>14</xdr:row>
      <xdr:rowOff>158750</xdr:rowOff>
    </xdr:to>
    <xdr:cxnSp macro="">
      <xdr:nvCxnSpPr>
        <xdr:cNvPr id="30" name="Elbow Connector 29"/>
        <xdr:cNvCxnSpPr>
          <a:stCxn id="2" idx="3"/>
          <a:endCxn id="24" idx="0"/>
        </xdr:cNvCxnSpPr>
      </xdr:nvCxnSpPr>
      <xdr:spPr>
        <a:xfrm>
          <a:off x="3867150" y="2209800"/>
          <a:ext cx="647700" cy="615950"/>
        </a:xfrm>
        <a:prstGeom prst="bentConnector2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146050</xdr:colOff>
      <xdr:row>2</xdr:row>
      <xdr:rowOff>6350</xdr:rowOff>
    </xdr:from>
    <xdr:to>
      <xdr:col>4</xdr:col>
      <xdr:colOff>457200</xdr:colOff>
      <xdr:row>4</xdr:row>
      <xdr:rowOff>184150</xdr:rowOff>
    </xdr:to>
    <xdr:sp macro="" textlink="">
      <xdr:nvSpPr>
        <xdr:cNvPr id="2" name="Rounded Rectangle 1"/>
        <xdr:cNvSpPr/>
      </xdr:nvSpPr>
      <xdr:spPr>
        <a:xfrm>
          <a:off x="1365250" y="387350"/>
          <a:ext cx="1530350" cy="5588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4</xdr:row>
      <xdr:rowOff>177800</xdr:rowOff>
    </xdr:from>
    <xdr:to>
      <xdr:col>2</xdr:col>
      <xdr:colOff>450851</xdr:colOff>
      <xdr:row>9</xdr:row>
      <xdr:rowOff>6350</xdr:rowOff>
    </xdr:to>
    <xdr:cxnSp macro="">
      <xdr:nvCxnSpPr>
        <xdr:cNvPr id="4" name="Straight Arrow Connector 3"/>
        <xdr:cNvCxnSpPr/>
      </xdr:nvCxnSpPr>
      <xdr:spPr>
        <a:xfrm rot="60000" flipH="1" flipV="1">
          <a:off x="1663701" y="939800"/>
          <a:ext cx="6350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127001</xdr:colOff>
      <xdr:row>4</xdr:row>
      <xdr:rowOff>177800</xdr:rowOff>
    </xdr:from>
    <xdr:to>
      <xdr:col>3</xdr:col>
      <xdr:colOff>133351</xdr:colOff>
      <xdr:row>9</xdr:row>
      <xdr:rowOff>6350</xdr:rowOff>
    </xdr:to>
    <xdr:cxnSp macro="">
      <xdr:nvCxnSpPr>
        <xdr:cNvPr id="5" name="Straight Arrow Connector 4"/>
        <xdr:cNvCxnSpPr/>
      </xdr:nvCxnSpPr>
      <xdr:spPr>
        <a:xfrm rot="60000" flipH="1" flipV="1">
          <a:off x="1955801" y="939800"/>
          <a:ext cx="6350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419101</xdr:colOff>
      <xdr:row>4</xdr:row>
      <xdr:rowOff>184150</xdr:rowOff>
    </xdr:from>
    <xdr:to>
      <xdr:col>3</xdr:col>
      <xdr:colOff>425451</xdr:colOff>
      <xdr:row>9</xdr:row>
      <xdr:rowOff>12700</xdr:rowOff>
    </xdr:to>
    <xdr:cxnSp macro="">
      <xdr:nvCxnSpPr>
        <xdr:cNvPr id="6" name="Straight Arrow Connector 5"/>
        <xdr:cNvCxnSpPr/>
      </xdr:nvCxnSpPr>
      <xdr:spPr>
        <a:xfrm rot="60000" flipH="1" flipV="1">
          <a:off x="2247901" y="946150"/>
          <a:ext cx="6350" cy="400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155892</xdr:colOff>
      <xdr:row>4</xdr:row>
      <xdr:rowOff>171426</xdr:rowOff>
    </xdr:from>
    <xdr:to>
      <xdr:col>4</xdr:col>
      <xdr:colOff>165100</xdr:colOff>
      <xdr:row>9</xdr:row>
      <xdr:rowOff>6350</xdr:rowOff>
    </xdr:to>
    <xdr:cxnSp macro="">
      <xdr:nvCxnSpPr>
        <xdr:cNvPr id="7" name="Straight Arrow Connector 6"/>
        <xdr:cNvCxnSpPr/>
      </xdr:nvCxnSpPr>
      <xdr:spPr>
        <a:xfrm flipH="1" flipV="1">
          <a:off x="2594292" y="933426"/>
          <a:ext cx="9208" cy="59692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6350</xdr:colOff>
      <xdr:row>33</xdr:row>
      <xdr:rowOff>38100</xdr:rowOff>
    </xdr:from>
    <xdr:to>
      <xdr:col>1</xdr:col>
      <xdr:colOff>6350</xdr:colOff>
      <xdr:row>38</xdr:row>
      <xdr:rowOff>6350</xdr:rowOff>
    </xdr:to>
    <xdr:cxnSp macro="">
      <xdr:nvCxnSpPr>
        <xdr:cNvPr id="10" name="Straight Arrow Connector 9"/>
        <xdr:cNvCxnSpPr/>
      </xdr:nvCxnSpPr>
      <xdr:spPr>
        <a:xfrm flipV="1">
          <a:off x="3663950" y="41910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</xdr:colOff>
      <xdr:row>33</xdr:row>
      <xdr:rowOff>38100</xdr:rowOff>
    </xdr:from>
    <xdr:to>
      <xdr:col>5</xdr:col>
      <xdr:colOff>6350</xdr:colOff>
      <xdr:row>38</xdr:row>
      <xdr:rowOff>6350</xdr:rowOff>
    </xdr:to>
    <xdr:cxnSp macro="">
      <xdr:nvCxnSpPr>
        <xdr:cNvPr id="11" name="Straight Arrow Connector 10"/>
        <xdr:cNvCxnSpPr/>
      </xdr:nvCxnSpPr>
      <xdr:spPr>
        <a:xfrm flipV="1">
          <a:off x="615950" y="632460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41</xdr:row>
      <xdr:rowOff>12700</xdr:rowOff>
    </xdr:from>
    <xdr:to>
      <xdr:col>5</xdr:col>
      <xdr:colOff>0</xdr:colOff>
      <xdr:row>45</xdr:row>
      <xdr:rowOff>184150</xdr:rowOff>
    </xdr:to>
    <xdr:cxnSp macro="">
      <xdr:nvCxnSpPr>
        <xdr:cNvPr id="14" name="Straight Arrow Connector 13"/>
        <xdr:cNvCxnSpPr/>
      </xdr:nvCxnSpPr>
      <xdr:spPr>
        <a:xfrm flipV="1">
          <a:off x="3048000" y="786130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6350</xdr:colOff>
      <xdr:row>40</xdr:row>
      <xdr:rowOff>184150</xdr:rowOff>
    </xdr:from>
    <xdr:to>
      <xdr:col>1</xdr:col>
      <xdr:colOff>6350</xdr:colOff>
      <xdr:row>45</xdr:row>
      <xdr:rowOff>165100</xdr:rowOff>
    </xdr:to>
    <xdr:cxnSp macro="">
      <xdr:nvCxnSpPr>
        <xdr:cNvPr id="15" name="Straight Arrow Connector 14"/>
        <xdr:cNvCxnSpPr/>
      </xdr:nvCxnSpPr>
      <xdr:spPr>
        <a:xfrm flipV="1">
          <a:off x="615950" y="7842250"/>
          <a:ext cx="0" cy="933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584200</xdr:colOff>
      <xdr:row>17</xdr:row>
      <xdr:rowOff>120650</xdr:rowOff>
    </xdr:from>
    <xdr:to>
      <xdr:col>11</xdr:col>
      <xdr:colOff>279400</xdr:colOff>
      <xdr:row>32</xdr:row>
      <xdr:rowOff>6350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612" cy="62651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mailto:Trade@" TargetMode="External"/><Relationship Id="rId1" Type="http://schemas.openxmlformats.org/officeDocument/2006/relationships/hyperlink" Target="mailto:Trade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6"/>
  <sheetViews>
    <sheetView zoomScale="150" zoomScaleNormal="150" workbookViewId="0">
      <selection activeCell="A3" sqref="A3:B3"/>
    </sheetView>
  </sheetViews>
  <sheetFormatPr defaultRowHeight="14.4" x14ac:dyDescent="0.3"/>
  <cols>
    <col min="2" max="2" width="28.109375" bestFit="1" customWidth="1"/>
    <col min="3" max="3" width="13.6640625" customWidth="1"/>
  </cols>
  <sheetData>
    <row r="1" spans="1:8" x14ac:dyDescent="0.3">
      <c r="B1" s="30"/>
      <c r="C1" s="37" t="s">
        <v>104</v>
      </c>
      <c r="D1" s="30"/>
      <c r="E1" s="30"/>
      <c r="F1" s="30"/>
    </row>
    <row r="2" spans="1:8" x14ac:dyDescent="0.3">
      <c r="B2" s="38"/>
      <c r="D2" s="38"/>
      <c r="G2" s="27"/>
    </row>
    <row r="3" spans="1:8" x14ac:dyDescent="0.3">
      <c r="A3" t="s">
        <v>180</v>
      </c>
      <c r="C3" t="s">
        <v>235</v>
      </c>
      <c r="F3" t="s">
        <v>234</v>
      </c>
    </row>
    <row r="7" spans="1:8" x14ac:dyDescent="0.3">
      <c r="B7" s="32"/>
      <c r="C7" s="50" t="s">
        <v>105</v>
      </c>
      <c r="D7" s="50"/>
      <c r="E7" s="33"/>
      <c r="F7" s="33"/>
      <c r="G7" s="33"/>
      <c r="H7" s="34"/>
    </row>
    <row r="8" spans="1:8" x14ac:dyDescent="0.3">
      <c r="B8" s="27"/>
      <c r="C8" s="20"/>
      <c r="D8" s="27"/>
      <c r="E8" s="20"/>
      <c r="F8" s="20"/>
      <c r="G8" s="20"/>
      <c r="H8" s="28"/>
    </row>
    <row r="9" spans="1:8" ht="13.5" customHeight="1" x14ac:dyDescent="0.3">
      <c r="B9" s="27" t="s">
        <v>219</v>
      </c>
      <c r="C9" s="20"/>
      <c r="D9" s="27" t="s">
        <v>220</v>
      </c>
      <c r="F9" s="20"/>
      <c r="G9" s="20"/>
      <c r="H9" s="28"/>
    </row>
    <row r="10" spans="1:8" x14ac:dyDescent="0.3">
      <c r="B10" s="27" t="s">
        <v>106</v>
      </c>
      <c r="C10" s="20"/>
      <c r="D10" s="27" t="s">
        <v>181</v>
      </c>
      <c r="F10" s="20"/>
      <c r="G10" s="20"/>
      <c r="H10" s="28"/>
    </row>
    <row r="11" spans="1:8" x14ac:dyDescent="0.3">
      <c r="B11" s="27"/>
      <c r="C11" s="20"/>
      <c r="D11" s="27"/>
      <c r="E11" s="20"/>
      <c r="F11" s="20"/>
      <c r="G11" s="20"/>
      <c r="H11" s="28"/>
    </row>
    <row r="12" spans="1:8" x14ac:dyDescent="0.3">
      <c r="B12" s="29" t="s">
        <v>143</v>
      </c>
      <c r="C12" s="30"/>
      <c r="D12" s="29" t="s">
        <v>144</v>
      </c>
      <c r="E12" s="30"/>
      <c r="F12" s="30"/>
      <c r="G12" s="30"/>
      <c r="H12" s="31"/>
    </row>
    <row r="16" spans="1:8" x14ac:dyDescent="0.3">
      <c r="C16" s="1" t="s">
        <v>107</v>
      </c>
    </row>
    <row r="17" spans="2:7" x14ac:dyDescent="0.3">
      <c r="C17" s="1"/>
    </row>
    <row r="18" spans="2:7" x14ac:dyDescent="0.3">
      <c r="B18" t="s">
        <v>150</v>
      </c>
    </row>
    <row r="20" spans="2:7" x14ac:dyDescent="0.3">
      <c r="C20" t="s">
        <v>112</v>
      </c>
      <c r="E20" t="s">
        <v>113</v>
      </c>
    </row>
    <row r="21" spans="2:7" x14ac:dyDescent="0.3">
      <c r="B21" t="s">
        <v>108</v>
      </c>
      <c r="C21" s="1"/>
      <c r="G21" s="1"/>
    </row>
    <row r="22" spans="2:7" x14ac:dyDescent="0.3">
      <c r="B22" t="s">
        <v>151</v>
      </c>
      <c r="C22" t="s">
        <v>152</v>
      </c>
      <c r="E22" t="s">
        <v>153</v>
      </c>
    </row>
    <row r="24" spans="2:7" x14ac:dyDescent="0.3">
      <c r="B24" s="1" t="s">
        <v>154</v>
      </c>
    </row>
    <row r="26" spans="2:7" x14ac:dyDescent="0.3">
      <c r="B26" s="1" t="s">
        <v>109</v>
      </c>
      <c r="D26" s="1" t="s">
        <v>110</v>
      </c>
    </row>
    <row r="27" spans="2:7" x14ac:dyDescent="0.3">
      <c r="B27" t="s">
        <v>225</v>
      </c>
    </row>
    <row r="29" spans="2:7" x14ac:dyDescent="0.3">
      <c r="B29" s="1" t="s">
        <v>226</v>
      </c>
    </row>
    <row r="30" spans="2:7" x14ac:dyDescent="0.3">
      <c r="B30" s="49">
        <f>200*1000000*0.0001</f>
        <v>20000</v>
      </c>
      <c r="C30" s="1" t="s">
        <v>155</v>
      </c>
      <c r="E30" s="1"/>
    </row>
    <row r="31" spans="2:7" x14ac:dyDescent="0.3">
      <c r="B31" s="14">
        <f>B30*52</f>
        <v>1040000</v>
      </c>
      <c r="C31" t="s">
        <v>156</v>
      </c>
    </row>
    <row r="33" spans="2:6" x14ac:dyDescent="0.3">
      <c r="B33" s="13" t="s">
        <v>185</v>
      </c>
      <c r="C33" s="1"/>
    </row>
    <row r="34" spans="2:6" x14ac:dyDescent="0.3">
      <c r="B34" s="51" t="s">
        <v>227</v>
      </c>
      <c r="C34" s="51"/>
      <c r="D34" s="51"/>
      <c r="E34" s="51"/>
      <c r="F34" s="51"/>
    </row>
    <row r="35" spans="2:6" x14ac:dyDescent="0.3">
      <c r="B35" s="52" t="s">
        <v>228</v>
      </c>
      <c r="C35" s="52"/>
      <c r="D35" s="52"/>
      <c r="E35" s="52"/>
      <c r="F35" s="41"/>
    </row>
    <row r="36" spans="2:6" x14ac:dyDescent="0.3">
      <c r="F36" s="41"/>
    </row>
  </sheetData>
  <mergeCells count="3">
    <mergeCell ref="C7:D7"/>
    <mergeCell ref="B34:F34"/>
    <mergeCell ref="B35:E3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6"/>
  <sheetViews>
    <sheetView topLeftCell="A7" zoomScale="150" zoomScaleNormal="150" workbookViewId="0">
      <selection activeCell="L21" sqref="L21"/>
    </sheetView>
  </sheetViews>
  <sheetFormatPr defaultRowHeight="14.4" x14ac:dyDescent="0.3"/>
  <cols>
    <col min="2" max="2" width="15.109375" customWidth="1"/>
    <col min="7" max="7" width="9.33203125" customWidth="1"/>
    <col min="8" max="8" width="15.109375" customWidth="1"/>
  </cols>
  <sheetData>
    <row r="1" spans="2:8" x14ac:dyDescent="0.3">
      <c r="G1" s="1"/>
    </row>
    <row r="6" spans="2:8" x14ac:dyDescent="0.3">
      <c r="B6" t="s">
        <v>205</v>
      </c>
    </row>
    <row r="7" spans="2:8" x14ac:dyDescent="0.3">
      <c r="B7" t="s">
        <v>206</v>
      </c>
    </row>
    <row r="8" spans="2:8" x14ac:dyDescent="0.3">
      <c r="B8" t="s">
        <v>207</v>
      </c>
    </row>
    <row r="9" spans="2:8" x14ac:dyDescent="0.3">
      <c r="E9" t="s">
        <v>79</v>
      </c>
    </row>
    <row r="16" spans="2:8" x14ac:dyDescent="0.3">
      <c r="B16" t="s">
        <v>88</v>
      </c>
      <c r="H16" s="12" t="s">
        <v>87</v>
      </c>
    </row>
    <row r="17" spans="1:5" x14ac:dyDescent="0.3">
      <c r="E17" t="s">
        <v>86</v>
      </c>
    </row>
    <row r="21" spans="1:5" x14ac:dyDescent="0.3">
      <c r="A21" s="42"/>
    </row>
    <row r="24" spans="1:5" x14ac:dyDescent="0.3">
      <c r="B24" t="s">
        <v>186</v>
      </c>
    </row>
    <row r="26" spans="1:5" x14ac:dyDescent="0.3">
      <c r="B26" t="s">
        <v>187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50"/>
  <sheetViews>
    <sheetView topLeftCell="A31" zoomScale="150" zoomScaleNormal="150" workbookViewId="0">
      <selection activeCell="F51" sqref="F51"/>
    </sheetView>
  </sheetViews>
  <sheetFormatPr defaultRowHeight="14.4" x14ac:dyDescent="0.3"/>
  <sheetData>
    <row r="2" spans="1:4" x14ac:dyDescent="0.3">
      <c r="D2" t="s">
        <v>79</v>
      </c>
    </row>
    <row r="10" spans="1:4" x14ac:dyDescent="0.3">
      <c r="D10" t="s">
        <v>80</v>
      </c>
    </row>
    <row r="11" spans="1:4" x14ac:dyDescent="0.3">
      <c r="D11" t="s">
        <v>81</v>
      </c>
    </row>
    <row r="13" spans="1:4" x14ac:dyDescent="0.3">
      <c r="D13" t="s">
        <v>111</v>
      </c>
    </row>
    <row r="15" spans="1:4" x14ac:dyDescent="0.3">
      <c r="A15" s="1" t="s">
        <v>182</v>
      </c>
    </row>
    <row r="16" spans="1:4" x14ac:dyDescent="0.3">
      <c r="A16" t="s">
        <v>265</v>
      </c>
    </row>
    <row r="17" spans="1:5" x14ac:dyDescent="0.3">
      <c r="A17" t="s">
        <v>266</v>
      </c>
    </row>
    <row r="18" spans="1:5" x14ac:dyDescent="0.3">
      <c r="A18" t="s">
        <v>267</v>
      </c>
    </row>
    <row r="19" spans="1:5" x14ac:dyDescent="0.3">
      <c r="A19" t="s">
        <v>268</v>
      </c>
    </row>
    <row r="20" spans="1:5" x14ac:dyDescent="0.3">
      <c r="A20" t="s">
        <v>269</v>
      </c>
    </row>
    <row r="21" spans="1:5" x14ac:dyDescent="0.3">
      <c r="A21" t="s">
        <v>270</v>
      </c>
    </row>
    <row r="22" spans="1:5" x14ac:dyDescent="0.3">
      <c r="A22" t="s">
        <v>271</v>
      </c>
    </row>
    <row r="23" spans="1:5" x14ac:dyDescent="0.3">
      <c r="A23" t="s">
        <v>272</v>
      </c>
    </row>
    <row r="24" spans="1:5" x14ac:dyDescent="0.3">
      <c r="A24" t="s">
        <v>273</v>
      </c>
    </row>
    <row r="32" spans="1:5" x14ac:dyDescent="0.3">
      <c r="A32" s="1" t="s">
        <v>215</v>
      </c>
      <c r="E32" s="1" t="s">
        <v>216</v>
      </c>
    </row>
    <row r="33" spans="1:7" x14ac:dyDescent="0.3">
      <c r="B33" s="1" t="s">
        <v>82</v>
      </c>
      <c r="C33" s="1" t="s">
        <v>6</v>
      </c>
      <c r="F33" s="1" t="s">
        <v>82</v>
      </c>
      <c r="G33" s="1" t="s">
        <v>6</v>
      </c>
    </row>
    <row r="35" spans="1:7" x14ac:dyDescent="0.3">
      <c r="B35">
        <v>103</v>
      </c>
      <c r="C35">
        <v>2</v>
      </c>
    </row>
    <row r="36" spans="1:7" x14ac:dyDescent="0.3">
      <c r="B36">
        <v>102</v>
      </c>
      <c r="C36">
        <v>1</v>
      </c>
    </row>
    <row r="37" spans="1:7" x14ac:dyDescent="0.3">
      <c r="B37">
        <v>101.5</v>
      </c>
      <c r="C37">
        <v>5</v>
      </c>
      <c r="F37">
        <v>400</v>
      </c>
      <c r="G37">
        <v>10</v>
      </c>
    </row>
    <row r="38" spans="1:7" ht="15.6" x14ac:dyDescent="0.3">
      <c r="B38" s="53" t="s">
        <v>113</v>
      </c>
      <c r="C38" s="53"/>
      <c r="F38" s="53" t="s">
        <v>113</v>
      </c>
      <c r="G38" s="53"/>
    </row>
    <row r="39" spans="1:7" ht="15.6" x14ac:dyDescent="0.3">
      <c r="B39" s="39"/>
      <c r="C39" s="39"/>
      <c r="F39" s="45"/>
      <c r="G39" s="45"/>
    </row>
    <row r="40" spans="1:7" ht="15.6" x14ac:dyDescent="0.3">
      <c r="B40" s="53" t="s">
        <v>112</v>
      </c>
      <c r="C40" s="53"/>
      <c r="F40" s="53" t="s">
        <v>112</v>
      </c>
      <c r="G40" s="53"/>
    </row>
    <row r="41" spans="1:7" x14ac:dyDescent="0.3">
      <c r="B41" s="1" t="s">
        <v>82</v>
      </c>
      <c r="C41" s="1" t="s">
        <v>6</v>
      </c>
      <c r="F41" s="1" t="s">
        <v>82</v>
      </c>
      <c r="G41" s="1" t="s">
        <v>6</v>
      </c>
    </row>
    <row r="42" spans="1:7" x14ac:dyDescent="0.3">
      <c r="B42">
        <v>100</v>
      </c>
      <c r="C42">
        <v>8</v>
      </c>
      <c r="F42">
        <v>399</v>
      </c>
      <c r="G42">
        <v>6</v>
      </c>
    </row>
    <row r="43" spans="1:7" x14ac:dyDescent="0.3">
      <c r="B43">
        <v>99</v>
      </c>
      <c r="C43">
        <v>4</v>
      </c>
    </row>
    <row r="44" spans="1:7" x14ac:dyDescent="0.3">
      <c r="B44">
        <v>98.5</v>
      </c>
      <c r="C44">
        <v>4</v>
      </c>
    </row>
    <row r="45" spans="1:7" x14ac:dyDescent="0.3">
      <c r="B45">
        <v>97.5</v>
      </c>
      <c r="C45">
        <v>3</v>
      </c>
    </row>
    <row r="48" spans="1:7" hidden="1" x14ac:dyDescent="0.3">
      <c r="A48" t="s">
        <v>233</v>
      </c>
    </row>
    <row r="49" spans="1:1" hidden="1" x14ac:dyDescent="0.3">
      <c r="A49" t="s">
        <v>229</v>
      </c>
    </row>
    <row r="50" spans="1:1" hidden="1" x14ac:dyDescent="0.3">
      <c r="A50" s="47" t="s">
        <v>230</v>
      </c>
    </row>
  </sheetData>
  <mergeCells count="4">
    <mergeCell ref="B38:C38"/>
    <mergeCell ref="B40:C40"/>
    <mergeCell ref="F38:G38"/>
    <mergeCell ref="F40:G4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M73"/>
  <sheetViews>
    <sheetView topLeftCell="A55" zoomScale="150" zoomScaleNormal="150" workbookViewId="0">
      <selection activeCell="E66" sqref="E66"/>
    </sheetView>
  </sheetViews>
  <sheetFormatPr defaultRowHeight="14.4" x14ac:dyDescent="0.3"/>
  <cols>
    <col min="1" max="2" width="10.6640625" customWidth="1"/>
    <col min="9" max="12" width="0" hidden="1" customWidth="1"/>
    <col min="13" max="13" width="9.109375" hidden="1" customWidth="1"/>
  </cols>
  <sheetData>
    <row r="2" spans="1:9" x14ac:dyDescent="0.3">
      <c r="A2" t="s">
        <v>7</v>
      </c>
      <c r="B2" t="s">
        <v>30</v>
      </c>
      <c r="C2" t="s">
        <v>35</v>
      </c>
      <c r="H2" s="1"/>
    </row>
    <row r="3" spans="1:9" x14ac:dyDescent="0.3">
      <c r="C3" s="1" t="s">
        <v>0</v>
      </c>
      <c r="D3" s="1"/>
      <c r="H3" s="2"/>
      <c r="I3" s="1" t="s">
        <v>114</v>
      </c>
    </row>
    <row r="4" spans="1:9" x14ac:dyDescent="0.3">
      <c r="A4" t="s">
        <v>3</v>
      </c>
      <c r="B4" s="1" t="s">
        <v>6</v>
      </c>
      <c r="C4" s="1" t="s">
        <v>33</v>
      </c>
      <c r="D4" s="1"/>
      <c r="E4" s="1" t="s">
        <v>34</v>
      </c>
      <c r="F4" s="1" t="s">
        <v>6</v>
      </c>
      <c r="H4" s="2"/>
      <c r="I4" s="4" t="s">
        <v>36</v>
      </c>
    </row>
    <row r="5" spans="1:9" x14ac:dyDescent="0.3">
      <c r="A5">
        <v>1</v>
      </c>
      <c r="B5">
        <v>5</v>
      </c>
      <c r="C5" s="1">
        <v>100</v>
      </c>
      <c r="D5" s="1"/>
      <c r="E5" s="1">
        <v>100.5</v>
      </c>
      <c r="F5">
        <v>15</v>
      </c>
      <c r="H5" s="3"/>
      <c r="I5" s="4"/>
    </row>
    <row r="6" spans="1:9" x14ac:dyDescent="0.3">
      <c r="A6">
        <v>2</v>
      </c>
      <c r="B6">
        <v>3</v>
      </c>
      <c r="C6">
        <v>99.5</v>
      </c>
      <c r="E6">
        <v>101</v>
      </c>
      <c r="F6">
        <v>35</v>
      </c>
      <c r="H6" s="3"/>
      <c r="I6" s="4" t="s">
        <v>37</v>
      </c>
    </row>
    <row r="7" spans="1:9" x14ac:dyDescent="0.3">
      <c r="A7">
        <v>3</v>
      </c>
      <c r="B7">
        <v>10</v>
      </c>
      <c r="C7">
        <v>99</v>
      </c>
      <c r="E7">
        <v>101.5</v>
      </c>
      <c r="F7">
        <v>5</v>
      </c>
      <c r="H7" s="3"/>
      <c r="I7" s="4" t="s">
        <v>38</v>
      </c>
    </row>
    <row r="8" spans="1:9" x14ac:dyDescent="0.3">
      <c r="A8">
        <v>4</v>
      </c>
      <c r="B8">
        <v>20</v>
      </c>
      <c r="C8">
        <v>98.25</v>
      </c>
      <c r="E8">
        <v>102.5</v>
      </c>
      <c r="F8">
        <v>2</v>
      </c>
      <c r="I8" s="4"/>
    </row>
    <row r="9" spans="1:9" x14ac:dyDescent="0.3">
      <c r="A9">
        <v>5</v>
      </c>
      <c r="B9">
        <v>5</v>
      </c>
      <c r="C9">
        <v>98</v>
      </c>
      <c r="E9">
        <v>103</v>
      </c>
      <c r="F9">
        <v>15</v>
      </c>
      <c r="I9" s="4" t="s">
        <v>39</v>
      </c>
    </row>
    <row r="10" spans="1:9" x14ac:dyDescent="0.3">
      <c r="H10" s="35"/>
      <c r="I10" s="1" t="s">
        <v>40</v>
      </c>
    </row>
    <row r="12" spans="1:9" s="2" customFormat="1" x14ac:dyDescent="0.3">
      <c r="A12" s="3" t="s">
        <v>9</v>
      </c>
      <c r="I12" s="3" t="s">
        <v>41</v>
      </c>
    </row>
    <row r="13" spans="1:9" s="2" customFormat="1" x14ac:dyDescent="0.3">
      <c r="A13" s="2" t="s">
        <v>4</v>
      </c>
      <c r="E13" s="3" t="s">
        <v>0</v>
      </c>
      <c r="I13" s="3"/>
    </row>
    <row r="14" spans="1:9" s="2" customFormat="1" x14ac:dyDescent="0.3">
      <c r="A14" s="2" t="s">
        <v>3</v>
      </c>
      <c r="B14" s="2" t="s">
        <v>6</v>
      </c>
      <c r="C14" s="2" t="s">
        <v>1</v>
      </c>
      <c r="E14" s="2" t="s">
        <v>2</v>
      </c>
      <c r="F14" s="2" t="s">
        <v>6</v>
      </c>
    </row>
    <row r="15" spans="1:9" s="2" customFormat="1" x14ac:dyDescent="0.3">
      <c r="A15" s="2">
        <v>1</v>
      </c>
      <c r="B15" s="7">
        <v>10</v>
      </c>
      <c r="C15" s="15">
        <v>100.1</v>
      </c>
      <c r="D15" s="3"/>
      <c r="E15" s="3">
        <v>100.5</v>
      </c>
      <c r="F15" s="2">
        <v>15</v>
      </c>
      <c r="H15" s="3"/>
    </row>
    <row r="16" spans="1:9" s="2" customFormat="1" x14ac:dyDescent="0.3">
      <c r="A16" s="2">
        <v>2</v>
      </c>
      <c r="B16" s="2">
        <v>5</v>
      </c>
      <c r="C16" s="11">
        <v>100</v>
      </c>
      <c r="D16" s="11"/>
      <c r="E16" s="2">
        <v>101</v>
      </c>
      <c r="F16" s="2">
        <v>35</v>
      </c>
    </row>
    <row r="17" spans="1:12" s="2" customFormat="1" x14ac:dyDescent="0.3">
      <c r="A17" s="2">
        <v>3</v>
      </c>
      <c r="B17" s="2">
        <v>3</v>
      </c>
      <c r="C17" s="2">
        <v>99.5</v>
      </c>
      <c r="E17" s="2">
        <v>101.5</v>
      </c>
      <c r="F17" s="2">
        <v>5</v>
      </c>
    </row>
    <row r="18" spans="1:12" s="2" customFormat="1" x14ac:dyDescent="0.3">
      <c r="A18" s="2">
        <v>4</v>
      </c>
      <c r="B18" s="2">
        <v>10</v>
      </c>
      <c r="C18" s="2">
        <v>99</v>
      </c>
      <c r="E18" s="2">
        <v>102.5</v>
      </c>
      <c r="F18" s="2">
        <v>2</v>
      </c>
      <c r="L18" s="3"/>
    </row>
    <row r="19" spans="1:12" s="2" customFormat="1" x14ac:dyDescent="0.3">
      <c r="A19" s="2">
        <v>5</v>
      </c>
      <c r="B19" s="2">
        <v>20</v>
      </c>
      <c r="C19" s="2">
        <v>98.25</v>
      </c>
      <c r="E19" s="2">
        <v>103</v>
      </c>
      <c r="F19" s="2">
        <v>15</v>
      </c>
    </row>
    <row r="20" spans="1:12" s="2" customFormat="1" x14ac:dyDescent="0.3">
      <c r="B20" s="2">
        <v>5</v>
      </c>
      <c r="C20" s="2">
        <v>98</v>
      </c>
    </row>
    <row r="21" spans="1:12" s="2" customFormat="1" x14ac:dyDescent="0.3"/>
    <row r="22" spans="1:12" s="2" customFormat="1" x14ac:dyDescent="0.3"/>
    <row r="23" spans="1:12" s="2" customFormat="1" x14ac:dyDescent="0.3">
      <c r="A23" s="3" t="s">
        <v>10</v>
      </c>
    </row>
    <row r="24" spans="1:12" s="2" customFormat="1" x14ac:dyDescent="0.3">
      <c r="A24" s="2" t="s">
        <v>8</v>
      </c>
      <c r="E24" s="3" t="s">
        <v>0</v>
      </c>
    </row>
    <row r="25" spans="1:12" s="2" customFormat="1" x14ac:dyDescent="0.3">
      <c r="A25" s="2" t="s">
        <v>3</v>
      </c>
      <c r="B25" s="2" t="s">
        <v>6</v>
      </c>
      <c r="C25" s="2" t="s">
        <v>1</v>
      </c>
      <c r="E25" s="2" t="s">
        <v>2</v>
      </c>
      <c r="F25" s="2" t="s">
        <v>6</v>
      </c>
    </row>
    <row r="26" spans="1:12" s="2" customFormat="1" x14ac:dyDescent="0.3">
      <c r="A26" s="2">
        <v>1</v>
      </c>
      <c r="B26" s="2">
        <v>10</v>
      </c>
      <c r="C26" s="3">
        <v>100.1</v>
      </c>
      <c r="E26" s="15">
        <v>100.3</v>
      </c>
      <c r="F26" s="7">
        <v>5</v>
      </c>
    </row>
    <row r="27" spans="1:12" s="2" customFormat="1" x14ac:dyDescent="0.3">
      <c r="A27" s="2">
        <v>2</v>
      </c>
      <c r="B27" s="2">
        <v>5</v>
      </c>
      <c r="C27" s="2">
        <v>100</v>
      </c>
      <c r="E27" s="2">
        <v>100.5</v>
      </c>
      <c r="F27" s="2">
        <v>15</v>
      </c>
    </row>
    <row r="28" spans="1:12" s="2" customFormat="1" x14ac:dyDescent="0.3">
      <c r="A28" s="2">
        <v>3</v>
      </c>
      <c r="B28" s="2">
        <v>3</v>
      </c>
      <c r="C28" s="2">
        <v>99.5</v>
      </c>
      <c r="E28" s="2">
        <v>101</v>
      </c>
      <c r="F28" s="2">
        <v>35</v>
      </c>
    </row>
    <row r="29" spans="1:12" s="2" customFormat="1" x14ac:dyDescent="0.3">
      <c r="A29" s="2">
        <v>4</v>
      </c>
      <c r="B29" s="2">
        <v>10</v>
      </c>
      <c r="C29" s="2">
        <v>99</v>
      </c>
      <c r="E29" s="2">
        <v>101.5</v>
      </c>
      <c r="F29" s="2">
        <v>5</v>
      </c>
    </row>
    <row r="30" spans="1:12" s="2" customFormat="1" x14ac:dyDescent="0.3">
      <c r="A30" s="2">
        <v>5</v>
      </c>
      <c r="B30" s="2">
        <v>20</v>
      </c>
      <c r="C30" s="2">
        <v>98.25</v>
      </c>
      <c r="E30" s="2">
        <v>102.5</v>
      </c>
      <c r="F30" s="2">
        <v>2</v>
      </c>
    </row>
    <row r="31" spans="1:12" s="2" customFormat="1" x14ac:dyDescent="0.3">
      <c r="B31" s="2">
        <v>5</v>
      </c>
      <c r="C31" s="2">
        <v>98</v>
      </c>
      <c r="E31" s="2">
        <v>103</v>
      </c>
      <c r="F31" s="2">
        <v>15</v>
      </c>
    </row>
    <row r="32" spans="1:12" s="2" customFormat="1" x14ac:dyDescent="0.3"/>
    <row r="33" spans="1:8" s="2" customFormat="1" x14ac:dyDescent="0.3"/>
    <row r="34" spans="1:8" s="2" customFormat="1" x14ac:dyDescent="0.3">
      <c r="A34" s="3" t="s">
        <v>11</v>
      </c>
    </row>
    <row r="35" spans="1:8" s="2" customFormat="1" x14ac:dyDescent="0.3"/>
    <row r="36" spans="1:8" s="2" customFormat="1" x14ac:dyDescent="0.3">
      <c r="A36" s="3" t="s">
        <v>42</v>
      </c>
    </row>
    <row r="37" spans="1:8" s="2" customFormat="1" x14ac:dyDescent="0.3">
      <c r="A37" s="2" t="s">
        <v>12</v>
      </c>
      <c r="E37" s="3" t="s">
        <v>0</v>
      </c>
    </row>
    <row r="38" spans="1:8" s="2" customFormat="1" x14ac:dyDescent="0.3">
      <c r="A38" s="2" t="s">
        <v>3</v>
      </c>
      <c r="B38" s="2" t="s">
        <v>6</v>
      </c>
      <c r="C38" s="2" t="s">
        <v>1</v>
      </c>
      <c r="E38" s="2" t="s">
        <v>2</v>
      </c>
      <c r="F38" s="2" t="s">
        <v>6</v>
      </c>
      <c r="H38" s="3" t="s">
        <v>13</v>
      </c>
    </row>
    <row r="39" spans="1:8" s="2" customFormat="1" x14ac:dyDescent="0.3">
      <c r="A39" s="2">
        <v>1</v>
      </c>
      <c r="B39" s="16">
        <v>10</v>
      </c>
      <c r="C39" s="2">
        <v>100.1</v>
      </c>
      <c r="E39" s="15">
        <v>100.3</v>
      </c>
      <c r="F39" s="15">
        <v>2</v>
      </c>
    </row>
    <row r="40" spans="1:8" s="2" customFormat="1" x14ac:dyDescent="0.3">
      <c r="A40" s="2">
        <v>2</v>
      </c>
      <c r="B40" s="2">
        <v>5</v>
      </c>
      <c r="C40" s="2">
        <v>100</v>
      </c>
      <c r="E40" s="2">
        <v>100.5</v>
      </c>
      <c r="F40" s="2">
        <v>15</v>
      </c>
    </row>
    <row r="41" spans="1:8" s="2" customFormat="1" x14ac:dyDescent="0.3">
      <c r="A41" s="2">
        <v>3</v>
      </c>
      <c r="B41" s="2">
        <v>3</v>
      </c>
      <c r="C41" s="2">
        <v>99.5</v>
      </c>
      <c r="E41" s="2">
        <v>101</v>
      </c>
      <c r="F41" s="2">
        <v>35</v>
      </c>
    </row>
    <row r="42" spans="1:8" s="2" customFormat="1" x14ac:dyDescent="0.3">
      <c r="A42" s="2">
        <v>4</v>
      </c>
      <c r="B42" s="2">
        <v>10</v>
      </c>
      <c r="C42" s="2">
        <v>99</v>
      </c>
      <c r="E42" s="2">
        <v>101.5</v>
      </c>
      <c r="F42" s="2">
        <v>5</v>
      </c>
    </row>
    <row r="43" spans="1:8" s="2" customFormat="1" x14ac:dyDescent="0.3">
      <c r="A43" s="2">
        <v>5</v>
      </c>
      <c r="B43" s="2">
        <v>20</v>
      </c>
      <c r="C43" s="2">
        <v>98.25</v>
      </c>
      <c r="E43" s="2">
        <v>102.5</v>
      </c>
      <c r="F43" s="2">
        <v>2</v>
      </c>
    </row>
    <row r="44" spans="1:8" s="2" customFormat="1" x14ac:dyDescent="0.3">
      <c r="B44" s="2">
        <v>5</v>
      </c>
      <c r="C44" s="2">
        <v>98</v>
      </c>
      <c r="E44" s="2">
        <v>103</v>
      </c>
      <c r="F44" s="2">
        <v>15</v>
      </c>
    </row>
    <row r="45" spans="1:8" s="2" customFormat="1" x14ac:dyDescent="0.3"/>
    <row r="46" spans="1:8" s="2" customFormat="1" x14ac:dyDescent="0.3"/>
    <row r="47" spans="1:8" s="2" customFormat="1" x14ac:dyDescent="0.3">
      <c r="A47" s="3" t="s">
        <v>43</v>
      </c>
    </row>
    <row r="48" spans="1:8" s="2" customFormat="1" x14ac:dyDescent="0.3">
      <c r="B48" s="3"/>
    </row>
    <row r="49" spans="1:8" s="2" customFormat="1" x14ac:dyDescent="0.3"/>
    <row r="50" spans="1:8" s="2" customFormat="1" x14ac:dyDescent="0.3">
      <c r="A50" s="3" t="s">
        <v>42</v>
      </c>
    </row>
    <row r="51" spans="1:8" s="2" customFormat="1" x14ac:dyDescent="0.3">
      <c r="A51" s="2" t="s">
        <v>12</v>
      </c>
      <c r="E51" s="3" t="s">
        <v>0</v>
      </c>
    </row>
    <row r="52" spans="1:8" s="2" customFormat="1" x14ac:dyDescent="0.3">
      <c r="A52" s="2" t="s">
        <v>3</v>
      </c>
      <c r="B52" s="2" t="s">
        <v>6</v>
      </c>
      <c r="C52" s="2" t="s">
        <v>1</v>
      </c>
      <c r="E52" s="2" t="s">
        <v>2</v>
      </c>
      <c r="F52" s="2" t="s">
        <v>6</v>
      </c>
      <c r="H52" s="3" t="s">
        <v>83</v>
      </c>
    </row>
    <row r="53" spans="1:8" s="2" customFormat="1" x14ac:dyDescent="0.3">
      <c r="A53" s="2">
        <v>1</v>
      </c>
      <c r="B53" s="16">
        <v>5</v>
      </c>
      <c r="C53" s="2">
        <v>100.1</v>
      </c>
      <c r="E53" s="3">
        <v>100.3</v>
      </c>
      <c r="F53" s="3">
        <v>2</v>
      </c>
    </row>
    <row r="54" spans="1:8" s="2" customFormat="1" x14ac:dyDescent="0.3">
      <c r="A54" s="2">
        <v>2</v>
      </c>
      <c r="B54" s="2">
        <v>5</v>
      </c>
      <c r="C54" s="2">
        <v>100</v>
      </c>
      <c r="E54" s="2">
        <v>100.5</v>
      </c>
      <c r="F54" s="2">
        <v>15</v>
      </c>
    </row>
    <row r="55" spans="1:8" s="2" customFormat="1" x14ac:dyDescent="0.3">
      <c r="A55" s="2">
        <v>3</v>
      </c>
      <c r="B55" s="2">
        <v>3</v>
      </c>
      <c r="C55" s="2">
        <v>99.5</v>
      </c>
      <c r="E55" s="2">
        <v>101</v>
      </c>
      <c r="F55" s="2">
        <v>35</v>
      </c>
    </row>
    <row r="56" spans="1:8" s="2" customFormat="1" x14ac:dyDescent="0.3">
      <c r="A56" s="2">
        <v>4</v>
      </c>
      <c r="B56" s="2">
        <v>10</v>
      </c>
      <c r="C56" s="2">
        <v>99</v>
      </c>
      <c r="E56" s="2">
        <v>101.5</v>
      </c>
      <c r="F56" s="2">
        <v>5</v>
      </c>
    </row>
    <row r="57" spans="1:8" s="2" customFormat="1" x14ac:dyDescent="0.3">
      <c r="A57" s="2">
        <v>5</v>
      </c>
      <c r="B57" s="2">
        <v>20</v>
      </c>
      <c r="C57" s="2">
        <v>98.25</v>
      </c>
      <c r="E57" s="2">
        <v>102.5</v>
      </c>
      <c r="F57" s="2">
        <v>2</v>
      </c>
    </row>
    <row r="58" spans="1:8" s="2" customFormat="1" x14ac:dyDescent="0.3">
      <c r="B58" s="2">
        <v>5</v>
      </c>
      <c r="C58" s="2">
        <v>98</v>
      </c>
      <c r="E58" s="2">
        <v>103</v>
      </c>
      <c r="F58" s="2">
        <v>15</v>
      </c>
    </row>
    <row r="59" spans="1:8" s="2" customFormat="1" x14ac:dyDescent="0.3"/>
    <row r="60" spans="1:8" s="2" customFormat="1" x14ac:dyDescent="0.3"/>
    <row r="61" spans="1:8" s="2" customFormat="1" x14ac:dyDescent="0.3">
      <c r="A61" s="3" t="s">
        <v>157</v>
      </c>
    </row>
    <row r="62" spans="1:8" s="2" customFormat="1" x14ac:dyDescent="0.3"/>
    <row r="63" spans="1:8" s="2" customFormat="1" x14ac:dyDescent="0.3">
      <c r="A63" s="3" t="s">
        <v>42</v>
      </c>
    </row>
    <row r="64" spans="1:8" s="2" customFormat="1" x14ac:dyDescent="0.3">
      <c r="A64" s="2" t="s">
        <v>12</v>
      </c>
      <c r="E64" s="3" t="s">
        <v>0</v>
      </c>
    </row>
    <row r="65" spans="1:6" s="2" customFormat="1" x14ac:dyDescent="0.3">
      <c r="A65" s="2" t="s">
        <v>3</v>
      </c>
      <c r="B65" s="2" t="s">
        <v>6</v>
      </c>
      <c r="C65" s="2" t="s">
        <v>1</v>
      </c>
      <c r="E65" s="2" t="s">
        <v>2</v>
      </c>
      <c r="F65" s="2" t="s">
        <v>6</v>
      </c>
    </row>
    <row r="66" spans="1:6" s="2" customFormat="1" x14ac:dyDescent="0.3">
      <c r="A66" s="2">
        <v>1</v>
      </c>
      <c r="B66" s="2">
        <v>5</v>
      </c>
      <c r="C66" s="2">
        <v>100.1</v>
      </c>
      <c r="E66" s="3">
        <v>100.3</v>
      </c>
      <c r="F66" s="3">
        <v>2</v>
      </c>
    </row>
    <row r="67" spans="1:6" s="2" customFormat="1" x14ac:dyDescent="0.3">
      <c r="A67" s="2">
        <v>2</v>
      </c>
      <c r="B67" s="2">
        <v>5</v>
      </c>
      <c r="C67" s="2">
        <v>100</v>
      </c>
      <c r="E67" s="2">
        <v>100.5</v>
      </c>
      <c r="F67" s="2">
        <v>15</v>
      </c>
    </row>
    <row r="68" spans="1:6" s="17" customFormat="1" x14ac:dyDescent="0.3">
      <c r="A68" s="17">
        <v>3</v>
      </c>
      <c r="B68" s="17">
        <v>2</v>
      </c>
      <c r="C68" s="17">
        <v>99.7</v>
      </c>
      <c r="E68" s="17">
        <v>101</v>
      </c>
      <c r="F68" s="17">
        <v>35</v>
      </c>
    </row>
    <row r="69" spans="1:6" s="2" customFormat="1" x14ac:dyDescent="0.3">
      <c r="A69" s="2">
        <v>4</v>
      </c>
      <c r="B69" s="2">
        <v>3</v>
      </c>
      <c r="C69" s="2">
        <v>99.5</v>
      </c>
      <c r="E69" s="2">
        <v>101.5</v>
      </c>
      <c r="F69" s="2">
        <v>5</v>
      </c>
    </row>
    <row r="70" spans="1:6" s="2" customFormat="1" x14ac:dyDescent="0.3">
      <c r="A70" s="2">
        <v>5</v>
      </c>
      <c r="B70" s="2">
        <v>10</v>
      </c>
      <c r="C70" s="2">
        <v>99</v>
      </c>
      <c r="E70" s="2">
        <v>102.5</v>
      </c>
      <c r="F70" s="2">
        <v>2</v>
      </c>
    </row>
    <row r="71" spans="1:6" s="2" customFormat="1" x14ac:dyDescent="0.3">
      <c r="B71" s="2">
        <v>20</v>
      </c>
      <c r="C71" s="2">
        <v>98.25</v>
      </c>
      <c r="E71" s="2">
        <v>103</v>
      </c>
      <c r="F71" s="2">
        <v>15</v>
      </c>
    </row>
    <row r="72" spans="1:6" s="2" customFormat="1" x14ac:dyDescent="0.3">
      <c r="B72" s="2">
        <v>5</v>
      </c>
      <c r="C72" s="2">
        <v>98</v>
      </c>
    </row>
    <row r="73" spans="1:6" s="2" customFormat="1" x14ac:dyDescent="0.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topLeftCell="A49" zoomScale="150" zoomScaleNormal="150" workbookViewId="0">
      <selection activeCell="D59" sqref="D59"/>
    </sheetView>
  </sheetViews>
  <sheetFormatPr defaultRowHeight="14.4" x14ac:dyDescent="0.3"/>
  <cols>
    <col min="6" max="6" width="37.6640625" customWidth="1"/>
  </cols>
  <sheetData>
    <row r="2" spans="1:5" x14ac:dyDescent="0.3">
      <c r="A2" t="s">
        <v>7</v>
      </c>
    </row>
    <row r="3" spans="1:5" x14ac:dyDescent="0.3">
      <c r="C3" s="1" t="s">
        <v>0</v>
      </c>
    </row>
    <row r="4" spans="1:5" x14ac:dyDescent="0.3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5" x14ac:dyDescent="0.3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5" x14ac:dyDescent="0.3">
      <c r="A6">
        <v>2</v>
      </c>
      <c r="B6">
        <v>3</v>
      </c>
      <c r="C6">
        <v>99.5</v>
      </c>
      <c r="D6">
        <v>101</v>
      </c>
      <c r="E6">
        <v>35</v>
      </c>
    </row>
    <row r="7" spans="1:5" x14ac:dyDescent="0.3">
      <c r="A7">
        <v>3</v>
      </c>
      <c r="B7">
        <v>10</v>
      </c>
      <c r="C7">
        <v>99</v>
      </c>
      <c r="D7">
        <v>101.5</v>
      </c>
      <c r="E7">
        <v>5</v>
      </c>
    </row>
    <row r="8" spans="1:5" x14ac:dyDescent="0.3">
      <c r="A8">
        <v>4</v>
      </c>
      <c r="B8">
        <v>20</v>
      </c>
      <c r="C8">
        <v>98.25</v>
      </c>
      <c r="D8">
        <v>102.5</v>
      </c>
      <c r="E8">
        <v>2</v>
      </c>
    </row>
    <row r="9" spans="1:5" x14ac:dyDescent="0.3">
      <c r="A9">
        <v>5</v>
      </c>
      <c r="B9">
        <v>5</v>
      </c>
      <c r="C9">
        <v>98</v>
      </c>
      <c r="D9">
        <v>103</v>
      </c>
      <c r="E9">
        <v>15</v>
      </c>
    </row>
    <row r="12" spans="1:5" x14ac:dyDescent="0.3">
      <c r="A12" s="1" t="s">
        <v>14</v>
      </c>
    </row>
    <row r="13" spans="1:5" x14ac:dyDescent="0.3">
      <c r="A13" t="s">
        <v>4</v>
      </c>
      <c r="D13" s="1" t="s">
        <v>0</v>
      </c>
    </row>
    <row r="14" spans="1:5" x14ac:dyDescent="0.3">
      <c r="A14" t="s">
        <v>3</v>
      </c>
      <c r="B14" t="s">
        <v>6</v>
      </c>
      <c r="C14" t="s">
        <v>1</v>
      </c>
      <c r="D14" t="s">
        <v>2</v>
      </c>
      <c r="E14" t="s">
        <v>6</v>
      </c>
    </row>
    <row r="15" spans="1:5" x14ac:dyDescent="0.3">
      <c r="A15">
        <v>1</v>
      </c>
      <c r="B15">
        <v>5</v>
      </c>
      <c r="C15" s="1">
        <v>100</v>
      </c>
      <c r="D15" s="1">
        <v>100.5</v>
      </c>
      <c r="E15">
        <v>15</v>
      </c>
    </row>
    <row r="16" spans="1:5" s="1" customFormat="1" x14ac:dyDescent="0.3">
      <c r="A16" s="1">
        <v>2</v>
      </c>
      <c r="B16" s="15">
        <v>13</v>
      </c>
      <c r="C16" s="1">
        <v>99.5</v>
      </c>
      <c r="D16" s="1">
        <v>101</v>
      </c>
      <c r="E16" s="1">
        <v>35</v>
      </c>
    </row>
    <row r="17" spans="1:6" x14ac:dyDescent="0.3">
      <c r="A17">
        <v>3</v>
      </c>
      <c r="B17">
        <v>10</v>
      </c>
      <c r="C17">
        <v>99</v>
      </c>
      <c r="D17">
        <v>101.5</v>
      </c>
      <c r="E17">
        <v>5</v>
      </c>
    </row>
    <row r="18" spans="1:6" x14ac:dyDescent="0.3">
      <c r="A18">
        <v>4</v>
      </c>
      <c r="B18">
        <v>20</v>
      </c>
      <c r="C18">
        <v>98.25</v>
      </c>
      <c r="D18">
        <v>102.5</v>
      </c>
      <c r="E18">
        <v>2</v>
      </c>
    </row>
    <row r="19" spans="1:6" x14ac:dyDescent="0.3">
      <c r="A19">
        <v>5</v>
      </c>
      <c r="B19">
        <v>5</v>
      </c>
      <c r="C19">
        <v>98</v>
      </c>
      <c r="D19">
        <v>103</v>
      </c>
      <c r="E19">
        <v>15</v>
      </c>
    </row>
    <row r="22" spans="1:6" x14ac:dyDescent="0.3">
      <c r="A22" t="s">
        <v>3</v>
      </c>
      <c r="B22" t="s">
        <v>6</v>
      </c>
      <c r="C22" t="s">
        <v>1</v>
      </c>
      <c r="D22" t="s">
        <v>2</v>
      </c>
      <c r="E22" t="s">
        <v>6</v>
      </c>
    </row>
    <row r="23" spans="1:6" x14ac:dyDescent="0.3">
      <c r="A23">
        <v>1</v>
      </c>
      <c r="B23">
        <v>5</v>
      </c>
      <c r="C23" s="1">
        <v>100</v>
      </c>
      <c r="D23" s="1">
        <v>100.5</v>
      </c>
      <c r="E23">
        <v>15</v>
      </c>
    </row>
    <row r="24" spans="1:6" x14ac:dyDescent="0.3">
      <c r="A24">
        <v>2</v>
      </c>
      <c r="B24">
        <v>3</v>
      </c>
      <c r="C24">
        <v>99.5</v>
      </c>
      <c r="D24">
        <v>101</v>
      </c>
      <c r="E24">
        <v>35</v>
      </c>
    </row>
    <row r="25" spans="1:6" x14ac:dyDescent="0.3">
      <c r="B25" s="5">
        <v>10</v>
      </c>
      <c r="C25" s="5">
        <v>99.5</v>
      </c>
      <c r="F25" s="1" t="s">
        <v>15</v>
      </c>
    </row>
    <row r="26" spans="1:6" x14ac:dyDescent="0.3">
      <c r="A26">
        <v>3</v>
      </c>
      <c r="B26">
        <v>10</v>
      </c>
      <c r="C26">
        <v>99</v>
      </c>
      <c r="D26">
        <v>101.5</v>
      </c>
      <c r="E26">
        <v>5</v>
      </c>
      <c r="F26" s="1" t="s">
        <v>16</v>
      </c>
    </row>
    <row r="27" spans="1:6" x14ac:dyDescent="0.3">
      <c r="A27">
        <v>4</v>
      </c>
      <c r="B27">
        <v>20</v>
      </c>
      <c r="C27">
        <v>98.25</v>
      </c>
      <c r="D27">
        <v>102.5</v>
      </c>
      <c r="E27">
        <v>2</v>
      </c>
    </row>
    <row r="28" spans="1:6" x14ac:dyDescent="0.3">
      <c r="A28">
        <v>5</v>
      </c>
      <c r="B28">
        <v>5</v>
      </c>
      <c r="C28">
        <v>98</v>
      </c>
      <c r="D28">
        <v>103</v>
      </c>
      <c r="E28">
        <v>15</v>
      </c>
    </row>
    <row r="31" spans="1:6" x14ac:dyDescent="0.3">
      <c r="A31" s="1" t="s">
        <v>44</v>
      </c>
    </row>
    <row r="33" spans="1:5" x14ac:dyDescent="0.3">
      <c r="A33" t="s">
        <v>3</v>
      </c>
      <c r="B33" t="s">
        <v>6</v>
      </c>
      <c r="C33" t="s">
        <v>1</v>
      </c>
      <c r="D33" t="s">
        <v>2</v>
      </c>
      <c r="E33" t="s">
        <v>6</v>
      </c>
    </row>
    <row r="34" spans="1:5" x14ac:dyDescent="0.3">
      <c r="A34">
        <v>1</v>
      </c>
      <c r="B34">
        <v>5</v>
      </c>
      <c r="C34" s="1">
        <v>100</v>
      </c>
      <c r="D34" s="1">
        <v>100.5</v>
      </c>
      <c r="E34">
        <v>15</v>
      </c>
    </row>
    <row r="35" spans="1:5" x14ac:dyDescent="0.3">
      <c r="A35">
        <v>2</v>
      </c>
      <c r="B35">
        <v>3</v>
      </c>
      <c r="C35">
        <v>99.5</v>
      </c>
      <c r="D35">
        <v>101</v>
      </c>
      <c r="E35">
        <v>35</v>
      </c>
    </row>
    <row r="36" spans="1:5" x14ac:dyDescent="0.3">
      <c r="B36" s="5">
        <v>10</v>
      </c>
      <c r="C36" s="5">
        <v>99.5</v>
      </c>
    </row>
    <row r="37" spans="1:5" x14ac:dyDescent="0.3">
      <c r="A37">
        <v>3</v>
      </c>
      <c r="B37">
        <v>10</v>
      </c>
      <c r="C37">
        <v>99</v>
      </c>
      <c r="D37">
        <v>101.5</v>
      </c>
      <c r="E37">
        <v>5</v>
      </c>
    </row>
    <row r="38" spans="1:5" x14ac:dyDescent="0.3">
      <c r="A38">
        <v>4</v>
      </c>
      <c r="B38">
        <v>20</v>
      </c>
      <c r="C38">
        <v>98.25</v>
      </c>
      <c r="D38">
        <v>102.5</v>
      </c>
      <c r="E38">
        <v>2</v>
      </c>
    </row>
    <row r="39" spans="1:5" x14ac:dyDescent="0.3">
      <c r="A39">
        <v>5</v>
      </c>
      <c r="B39">
        <v>5</v>
      </c>
      <c r="C39">
        <v>98</v>
      </c>
      <c r="D39">
        <v>103</v>
      </c>
      <c r="E39">
        <v>15</v>
      </c>
    </row>
    <row r="42" spans="1:5" x14ac:dyDescent="0.3">
      <c r="A42" s="1" t="s">
        <v>45</v>
      </c>
    </row>
    <row r="44" spans="1:5" x14ac:dyDescent="0.3">
      <c r="A44" t="s">
        <v>3</v>
      </c>
      <c r="B44" t="s">
        <v>6</v>
      </c>
      <c r="C44" t="s">
        <v>1</v>
      </c>
      <c r="D44" t="s">
        <v>2</v>
      </c>
      <c r="E44" t="s">
        <v>6</v>
      </c>
    </row>
    <row r="45" spans="1:5" x14ac:dyDescent="0.3">
      <c r="A45">
        <v>1</v>
      </c>
      <c r="B45">
        <v>3</v>
      </c>
      <c r="C45">
        <v>99.5</v>
      </c>
      <c r="D45" s="1">
        <v>100.5</v>
      </c>
      <c r="E45">
        <v>15</v>
      </c>
    </row>
    <row r="46" spans="1:5" x14ac:dyDescent="0.3">
      <c r="A46">
        <v>2</v>
      </c>
      <c r="B46" s="5">
        <v>10</v>
      </c>
      <c r="C46" s="5">
        <v>99.5</v>
      </c>
      <c r="D46">
        <v>101</v>
      </c>
      <c r="E46">
        <v>35</v>
      </c>
    </row>
    <row r="47" spans="1:5" x14ac:dyDescent="0.3">
      <c r="A47">
        <v>3</v>
      </c>
      <c r="B47">
        <v>10</v>
      </c>
      <c r="C47">
        <v>99</v>
      </c>
    </row>
    <row r="48" spans="1:5" x14ac:dyDescent="0.3">
      <c r="A48">
        <v>4</v>
      </c>
      <c r="B48">
        <v>20</v>
      </c>
      <c r="C48">
        <v>98.25</v>
      </c>
      <c r="D48">
        <v>101.5</v>
      </c>
      <c r="E48">
        <v>5</v>
      </c>
    </row>
    <row r="49" spans="1:10" x14ac:dyDescent="0.3">
      <c r="A49">
        <v>5</v>
      </c>
      <c r="B49">
        <v>5</v>
      </c>
      <c r="C49">
        <v>98</v>
      </c>
      <c r="D49">
        <v>102.5</v>
      </c>
      <c r="E49">
        <v>2</v>
      </c>
    </row>
    <row r="50" spans="1:10" x14ac:dyDescent="0.3">
      <c r="D50">
        <v>103</v>
      </c>
      <c r="E50">
        <v>15</v>
      </c>
    </row>
    <row r="52" spans="1:10" x14ac:dyDescent="0.3">
      <c r="A52" s="1" t="s">
        <v>46</v>
      </c>
    </row>
    <row r="54" spans="1:10" x14ac:dyDescent="0.3">
      <c r="A54" t="s">
        <v>3</v>
      </c>
      <c r="B54" t="s">
        <v>6</v>
      </c>
      <c r="C54" t="s">
        <v>1</v>
      </c>
      <c r="D54" t="s">
        <v>2</v>
      </c>
      <c r="E54" t="s">
        <v>6</v>
      </c>
      <c r="H54" s="47" t="s">
        <v>231</v>
      </c>
      <c r="I54" s="47"/>
      <c r="J54" s="47">
        <f>((H56*I56)+(H57*I57))/(SUM(I56:I57))</f>
        <v>99.8125</v>
      </c>
    </row>
    <row r="55" spans="1:10" x14ac:dyDescent="0.3">
      <c r="A55">
        <v>1</v>
      </c>
      <c r="B55" s="5">
        <v>10</v>
      </c>
      <c r="C55" s="5">
        <v>99.5</v>
      </c>
      <c r="D55" s="1">
        <v>100.5</v>
      </c>
      <c r="E55">
        <v>15</v>
      </c>
      <c r="H55" t="s">
        <v>31</v>
      </c>
      <c r="I55" t="s">
        <v>6</v>
      </c>
    </row>
    <row r="56" spans="1:10" x14ac:dyDescent="0.3">
      <c r="A56">
        <v>2</v>
      </c>
      <c r="B56">
        <v>10</v>
      </c>
      <c r="C56">
        <v>99</v>
      </c>
      <c r="D56">
        <v>101</v>
      </c>
      <c r="E56">
        <v>35</v>
      </c>
      <c r="H56">
        <v>100</v>
      </c>
      <c r="I56">
        <v>5</v>
      </c>
    </row>
    <row r="57" spans="1:10" x14ac:dyDescent="0.3">
      <c r="A57">
        <v>3</v>
      </c>
      <c r="B57">
        <v>20</v>
      </c>
      <c r="C57">
        <v>98.25</v>
      </c>
      <c r="H57">
        <v>99.5</v>
      </c>
      <c r="I57">
        <v>3</v>
      </c>
    </row>
    <row r="58" spans="1:10" x14ac:dyDescent="0.3">
      <c r="A58">
        <v>4</v>
      </c>
      <c r="B58">
        <v>5</v>
      </c>
      <c r="C58">
        <v>98</v>
      </c>
      <c r="D58">
        <v>101.5</v>
      </c>
      <c r="E58">
        <v>5</v>
      </c>
    </row>
    <row r="59" spans="1:10" x14ac:dyDescent="0.3">
      <c r="A59">
        <v>5</v>
      </c>
      <c r="D59">
        <v>102.5</v>
      </c>
      <c r="E59">
        <v>2</v>
      </c>
    </row>
    <row r="60" spans="1:10" x14ac:dyDescent="0.3">
      <c r="D60">
        <v>103</v>
      </c>
      <c r="E60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L39"/>
  <sheetViews>
    <sheetView topLeftCell="A13" zoomScale="150" zoomScaleNormal="150" workbookViewId="0">
      <selection activeCell="M17" sqref="M17"/>
    </sheetView>
  </sheetViews>
  <sheetFormatPr defaultRowHeight="14.4" x14ac:dyDescent="0.3"/>
  <sheetData>
    <row r="3" spans="1:12" x14ac:dyDescent="0.3">
      <c r="C3" s="1" t="s">
        <v>0</v>
      </c>
    </row>
    <row r="4" spans="1:12" x14ac:dyDescent="0.3">
      <c r="A4" t="s">
        <v>3</v>
      </c>
      <c r="B4" s="1" t="s">
        <v>6</v>
      </c>
      <c r="C4" t="s">
        <v>1</v>
      </c>
      <c r="D4" t="s">
        <v>2</v>
      </c>
      <c r="E4" s="1" t="s">
        <v>6</v>
      </c>
      <c r="F4" s="1"/>
      <c r="H4" s="47" t="s">
        <v>243</v>
      </c>
      <c r="I4" s="1"/>
    </row>
    <row r="5" spans="1:12" x14ac:dyDescent="0.3">
      <c r="A5">
        <v>1</v>
      </c>
      <c r="B5">
        <v>2</v>
      </c>
      <c r="C5">
        <v>100</v>
      </c>
      <c r="D5">
        <v>101</v>
      </c>
      <c r="E5">
        <v>1</v>
      </c>
      <c r="H5" t="s">
        <v>239</v>
      </c>
      <c r="I5" s="1"/>
    </row>
    <row r="6" spans="1:12" x14ac:dyDescent="0.3">
      <c r="A6">
        <f>A5+1</f>
        <v>2</v>
      </c>
      <c r="B6">
        <v>5</v>
      </c>
      <c r="C6">
        <v>99.75</v>
      </c>
      <c r="D6">
        <v>101.25</v>
      </c>
      <c r="E6">
        <v>2</v>
      </c>
      <c r="H6" t="s">
        <v>245</v>
      </c>
      <c r="I6" s="1"/>
    </row>
    <row r="7" spans="1:12" x14ac:dyDescent="0.3">
      <c r="A7">
        <f t="shared" ref="A7:A14" si="0">A6+1</f>
        <v>3</v>
      </c>
      <c r="B7">
        <v>8</v>
      </c>
      <c r="C7">
        <v>99.6</v>
      </c>
      <c r="D7">
        <v>101.5</v>
      </c>
      <c r="E7">
        <v>5</v>
      </c>
      <c r="H7" s="15" t="s">
        <v>241</v>
      </c>
      <c r="I7" s="7"/>
      <c r="J7" s="7"/>
      <c r="K7" s="7"/>
      <c r="L7" s="7"/>
    </row>
    <row r="8" spans="1:12" x14ac:dyDescent="0.3">
      <c r="A8">
        <f t="shared" si="0"/>
        <v>4</v>
      </c>
      <c r="B8">
        <v>10</v>
      </c>
      <c r="C8">
        <v>99.25</v>
      </c>
      <c r="D8">
        <v>102</v>
      </c>
      <c r="E8">
        <v>3</v>
      </c>
      <c r="H8" t="s">
        <v>247</v>
      </c>
      <c r="I8" s="1"/>
    </row>
    <row r="9" spans="1:12" x14ac:dyDescent="0.3">
      <c r="A9">
        <f t="shared" si="0"/>
        <v>5</v>
      </c>
      <c r="B9">
        <v>9</v>
      </c>
      <c r="C9">
        <v>98.8</v>
      </c>
      <c r="D9">
        <v>102.5</v>
      </c>
      <c r="E9">
        <v>3</v>
      </c>
      <c r="H9" s="47" t="s">
        <v>244</v>
      </c>
      <c r="I9" s="1"/>
    </row>
    <row r="10" spans="1:12" x14ac:dyDescent="0.3">
      <c r="A10">
        <f t="shared" si="0"/>
        <v>6</v>
      </c>
      <c r="B10">
        <v>11</v>
      </c>
      <c r="C10">
        <v>98.5</v>
      </c>
      <c r="D10">
        <v>103</v>
      </c>
      <c r="E10">
        <v>2</v>
      </c>
      <c r="H10" s="46" t="s">
        <v>242</v>
      </c>
      <c r="I10" s="1"/>
    </row>
    <row r="11" spans="1:12" x14ac:dyDescent="0.3">
      <c r="A11">
        <f t="shared" si="0"/>
        <v>7</v>
      </c>
      <c r="B11">
        <v>15</v>
      </c>
      <c r="C11">
        <v>98.35</v>
      </c>
      <c r="D11">
        <v>104</v>
      </c>
      <c r="E11">
        <v>6</v>
      </c>
      <c r="H11" s="4" t="s">
        <v>240</v>
      </c>
      <c r="I11" s="1"/>
    </row>
    <row r="12" spans="1:12" x14ac:dyDescent="0.3">
      <c r="A12">
        <f t="shared" si="0"/>
        <v>8</v>
      </c>
      <c r="B12">
        <v>7</v>
      </c>
      <c r="C12">
        <v>98</v>
      </c>
      <c r="D12">
        <v>104.5</v>
      </c>
      <c r="E12">
        <v>7</v>
      </c>
      <c r="H12" s="15" t="s">
        <v>246</v>
      </c>
      <c r="I12" s="15"/>
      <c r="J12" s="7"/>
      <c r="K12" s="7"/>
      <c r="L12" s="7"/>
    </row>
    <row r="13" spans="1:12" x14ac:dyDescent="0.3">
      <c r="A13">
        <f t="shared" si="0"/>
        <v>9</v>
      </c>
      <c r="B13">
        <v>9</v>
      </c>
      <c r="C13">
        <v>97.8</v>
      </c>
      <c r="D13">
        <v>105</v>
      </c>
      <c r="E13">
        <v>8</v>
      </c>
      <c r="H13" s="4" t="s">
        <v>248</v>
      </c>
      <c r="I13" s="1"/>
    </row>
    <row r="14" spans="1:12" x14ac:dyDescent="0.3">
      <c r="A14">
        <f t="shared" si="0"/>
        <v>10</v>
      </c>
      <c r="B14">
        <v>5</v>
      </c>
      <c r="C14">
        <v>97.5</v>
      </c>
      <c r="D14">
        <v>106</v>
      </c>
      <c r="E14">
        <v>9</v>
      </c>
      <c r="I14" s="1"/>
    </row>
    <row r="17" spans="1:8" x14ac:dyDescent="0.3">
      <c r="H17" t="s">
        <v>115</v>
      </c>
    </row>
    <row r="18" spans="1:8" x14ac:dyDescent="0.3">
      <c r="A18" s="1" t="s">
        <v>2</v>
      </c>
      <c r="B18" s="1" t="s">
        <v>31</v>
      </c>
      <c r="C18" s="1" t="s">
        <v>85</v>
      </c>
    </row>
    <row r="19" spans="1:8" x14ac:dyDescent="0.3">
      <c r="A19">
        <v>1</v>
      </c>
      <c r="B19">
        <f>D5</f>
        <v>101</v>
      </c>
      <c r="C19">
        <f>E5</f>
        <v>1</v>
      </c>
    </row>
    <row r="20" spans="1:8" x14ac:dyDescent="0.3">
      <c r="A20">
        <f>A19+1</f>
        <v>2</v>
      </c>
      <c r="B20">
        <f t="shared" ref="B20:B28" si="1">D6</f>
        <v>101.25</v>
      </c>
      <c r="C20">
        <f>SUM($E$5:E6)</f>
        <v>3</v>
      </c>
    </row>
    <row r="21" spans="1:8" x14ac:dyDescent="0.3">
      <c r="A21">
        <f t="shared" ref="A21:A28" si="2">A20+1</f>
        <v>3</v>
      </c>
      <c r="B21">
        <f t="shared" si="1"/>
        <v>101.5</v>
      </c>
      <c r="C21">
        <f>SUM($E$5:E7)</f>
        <v>8</v>
      </c>
    </row>
    <row r="22" spans="1:8" x14ac:dyDescent="0.3">
      <c r="A22">
        <f t="shared" si="2"/>
        <v>4</v>
      </c>
      <c r="B22">
        <f t="shared" si="1"/>
        <v>102</v>
      </c>
      <c r="C22">
        <f>SUM($E$5:E8)</f>
        <v>11</v>
      </c>
    </row>
    <row r="23" spans="1:8" x14ac:dyDescent="0.3">
      <c r="A23">
        <f t="shared" si="2"/>
        <v>5</v>
      </c>
      <c r="B23">
        <f t="shared" si="1"/>
        <v>102.5</v>
      </c>
      <c r="C23">
        <f>SUM($E$5:E9)</f>
        <v>14</v>
      </c>
    </row>
    <row r="24" spans="1:8" x14ac:dyDescent="0.3">
      <c r="A24">
        <f t="shared" si="2"/>
        <v>6</v>
      </c>
      <c r="B24">
        <f t="shared" si="1"/>
        <v>103</v>
      </c>
      <c r="C24">
        <f>SUM($E$5:E10)</f>
        <v>16</v>
      </c>
    </row>
    <row r="25" spans="1:8" x14ac:dyDescent="0.3">
      <c r="A25">
        <f t="shared" si="2"/>
        <v>7</v>
      </c>
      <c r="B25">
        <f t="shared" si="1"/>
        <v>104</v>
      </c>
      <c r="C25">
        <f>SUM($E$5:E11)</f>
        <v>22</v>
      </c>
    </row>
    <row r="26" spans="1:8" x14ac:dyDescent="0.3">
      <c r="A26">
        <f t="shared" si="2"/>
        <v>8</v>
      </c>
      <c r="B26">
        <f t="shared" si="1"/>
        <v>104.5</v>
      </c>
      <c r="C26">
        <f>SUM($E$5:E12)</f>
        <v>29</v>
      </c>
    </row>
    <row r="27" spans="1:8" x14ac:dyDescent="0.3">
      <c r="A27">
        <f t="shared" si="2"/>
        <v>9</v>
      </c>
      <c r="B27">
        <f t="shared" si="1"/>
        <v>105</v>
      </c>
      <c r="C27">
        <f>SUM($E$5:E13)</f>
        <v>37</v>
      </c>
    </row>
    <row r="28" spans="1:8" x14ac:dyDescent="0.3">
      <c r="A28">
        <f t="shared" si="2"/>
        <v>10</v>
      </c>
      <c r="B28">
        <f t="shared" si="1"/>
        <v>106</v>
      </c>
      <c r="C28">
        <f>SUM($E$5:E14)</f>
        <v>46</v>
      </c>
    </row>
    <row r="29" spans="1:8" x14ac:dyDescent="0.3">
      <c r="A29" s="1" t="s">
        <v>84</v>
      </c>
      <c r="B29" s="1"/>
    </row>
    <row r="30" spans="1:8" x14ac:dyDescent="0.3">
      <c r="A30">
        <v>1</v>
      </c>
      <c r="B30">
        <f>C5</f>
        <v>100</v>
      </c>
      <c r="C30">
        <f>B5</f>
        <v>2</v>
      </c>
    </row>
    <row r="31" spans="1:8" x14ac:dyDescent="0.3">
      <c r="A31">
        <f>A30+1</f>
        <v>2</v>
      </c>
      <c r="B31">
        <f t="shared" ref="B31:B39" si="3">C6</f>
        <v>99.75</v>
      </c>
      <c r="C31">
        <f>SUM($B$5:B6)</f>
        <v>7</v>
      </c>
    </row>
    <row r="32" spans="1:8" x14ac:dyDescent="0.3">
      <c r="A32">
        <f t="shared" ref="A32:A39" si="4">A31+1</f>
        <v>3</v>
      </c>
      <c r="B32">
        <f t="shared" si="3"/>
        <v>99.6</v>
      </c>
      <c r="C32">
        <f>SUM($B$5:B7)</f>
        <v>15</v>
      </c>
    </row>
    <row r="33" spans="1:3" x14ac:dyDescent="0.3">
      <c r="A33">
        <f t="shared" si="4"/>
        <v>4</v>
      </c>
      <c r="B33">
        <f t="shared" si="3"/>
        <v>99.25</v>
      </c>
      <c r="C33">
        <f>SUM($B$5:B8)</f>
        <v>25</v>
      </c>
    </row>
    <row r="34" spans="1:3" x14ac:dyDescent="0.3">
      <c r="A34">
        <f t="shared" si="4"/>
        <v>5</v>
      </c>
      <c r="B34">
        <f t="shared" si="3"/>
        <v>98.8</v>
      </c>
      <c r="C34">
        <f>SUM($B$5:B9)</f>
        <v>34</v>
      </c>
    </row>
    <row r="35" spans="1:3" x14ac:dyDescent="0.3">
      <c r="A35">
        <f t="shared" si="4"/>
        <v>6</v>
      </c>
      <c r="B35">
        <f t="shared" si="3"/>
        <v>98.5</v>
      </c>
      <c r="C35">
        <f>SUM($B$5:B10)</f>
        <v>45</v>
      </c>
    </row>
    <row r="36" spans="1:3" x14ac:dyDescent="0.3">
      <c r="A36">
        <f t="shared" si="4"/>
        <v>7</v>
      </c>
      <c r="B36">
        <f t="shared" si="3"/>
        <v>98.35</v>
      </c>
      <c r="C36">
        <f>SUM($B$5:B11)</f>
        <v>60</v>
      </c>
    </row>
    <row r="37" spans="1:3" x14ac:dyDescent="0.3">
      <c r="A37">
        <f t="shared" si="4"/>
        <v>8</v>
      </c>
      <c r="B37">
        <f t="shared" si="3"/>
        <v>98</v>
      </c>
      <c r="C37">
        <f>SUM($B$5:B12)</f>
        <v>67</v>
      </c>
    </row>
    <row r="38" spans="1:3" x14ac:dyDescent="0.3">
      <c r="A38">
        <f t="shared" si="4"/>
        <v>9</v>
      </c>
      <c r="B38">
        <f t="shared" si="3"/>
        <v>97.8</v>
      </c>
      <c r="C38">
        <f>SUM($B$5:B13)</f>
        <v>76</v>
      </c>
    </row>
    <row r="39" spans="1:3" x14ac:dyDescent="0.3">
      <c r="A39">
        <f t="shared" si="4"/>
        <v>10</v>
      </c>
      <c r="B39">
        <f t="shared" si="3"/>
        <v>97.5</v>
      </c>
      <c r="C39">
        <f>SUM($B$5:B14)</f>
        <v>81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L63"/>
  <sheetViews>
    <sheetView zoomScale="150" zoomScaleNormal="150" workbookViewId="0">
      <selection activeCell="B4" sqref="B4"/>
    </sheetView>
  </sheetViews>
  <sheetFormatPr defaultRowHeight="14.4" x14ac:dyDescent="0.3"/>
  <cols>
    <col min="3" max="3" width="13.33203125" customWidth="1"/>
    <col min="4" max="4" width="8.88671875" customWidth="1"/>
    <col min="5" max="5" width="9.109375" customWidth="1"/>
    <col min="6" max="6" width="17.44140625" customWidth="1"/>
    <col min="7" max="9" width="9.109375" customWidth="1"/>
  </cols>
  <sheetData>
    <row r="2" spans="1:9" x14ac:dyDescent="0.3">
      <c r="A2" t="s">
        <v>4</v>
      </c>
      <c r="B2" t="s">
        <v>0</v>
      </c>
    </row>
    <row r="3" spans="1:9" x14ac:dyDescent="0.3">
      <c r="A3" t="s">
        <v>3</v>
      </c>
      <c r="B3" s="1" t="s">
        <v>1</v>
      </c>
      <c r="C3" s="1" t="s">
        <v>2</v>
      </c>
      <c r="D3" s="1" t="s">
        <v>236</v>
      </c>
      <c r="E3" s="1" t="s">
        <v>77</v>
      </c>
    </row>
    <row r="4" spans="1:9" x14ac:dyDescent="0.3">
      <c r="A4">
        <v>1</v>
      </c>
      <c r="B4">
        <v>100</v>
      </c>
      <c r="C4">
        <v>100.5</v>
      </c>
      <c r="D4">
        <f>AVERAGE(B4:C4)</f>
        <v>100.25</v>
      </c>
      <c r="E4">
        <f>C4-B4</f>
        <v>0.5</v>
      </c>
    </row>
    <row r="5" spans="1:9" x14ac:dyDescent="0.3">
      <c r="A5">
        <v>2</v>
      </c>
      <c r="B5">
        <v>99.5</v>
      </c>
      <c r="C5">
        <v>101</v>
      </c>
      <c r="E5">
        <f t="shared" ref="E5:E8" si="0">C5-B5</f>
        <v>1.5</v>
      </c>
    </row>
    <row r="6" spans="1:9" x14ac:dyDescent="0.3">
      <c r="A6">
        <v>3</v>
      </c>
      <c r="B6">
        <v>99</v>
      </c>
      <c r="C6">
        <v>101.5</v>
      </c>
      <c r="E6">
        <f t="shared" si="0"/>
        <v>2.5</v>
      </c>
    </row>
    <row r="7" spans="1:9" x14ac:dyDescent="0.3">
      <c r="A7">
        <v>4</v>
      </c>
      <c r="B7">
        <v>98.25</v>
      </c>
      <c r="C7">
        <v>102.5</v>
      </c>
      <c r="E7">
        <f t="shared" si="0"/>
        <v>4.25</v>
      </c>
    </row>
    <row r="8" spans="1:9" x14ac:dyDescent="0.3">
      <c r="A8">
        <v>5</v>
      </c>
      <c r="B8">
        <v>98</v>
      </c>
      <c r="C8">
        <v>103</v>
      </c>
      <c r="E8">
        <f t="shared" si="0"/>
        <v>5</v>
      </c>
    </row>
    <row r="10" spans="1:9" x14ac:dyDescent="0.3">
      <c r="A10" s="1" t="s">
        <v>217</v>
      </c>
    </row>
    <row r="11" spans="1:9" x14ac:dyDescent="0.3">
      <c r="A11" s="4" t="s">
        <v>237</v>
      </c>
    </row>
    <row r="13" spans="1:9" x14ac:dyDescent="0.3">
      <c r="A13" s="1" t="s">
        <v>196</v>
      </c>
    </row>
    <row r="14" spans="1:9" s="2" customFormat="1" x14ac:dyDescent="0.3">
      <c r="A14" s="4"/>
      <c r="B14"/>
      <c r="C14"/>
      <c r="I14"/>
    </row>
    <row r="15" spans="1:9" x14ac:dyDescent="0.3">
      <c r="A15" s="43" t="s">
        <v>158</v>
      </c>
      <c r="B15" t="s">
        <v>159</v>
      </c>
    </row>
    <row r="16" spans="1:9" x14ac:dyDescent="0.3">
      <c r="A16">
        <v>100</v>
      </c>
      <c r="B16">
        <v>100.25</v>
      </c>
      <c r="C16" t="s">
        <v>238</v>
      </c>
    </row>
    <row r="17" spans="1:4" x14ac:dyDescent="0.3">
      <c r="A17" t="s">
        <v>160</v>
      </c>
    </row>
    <row r="18" spans="1:4" x14ac:dyDescent="0.3">
      <c r="A18" t="s">
        <v>197</v>
      </c>
    </row>
    <row r="19" spans="1:4" x14ac:dyDescent="0.3">
      <c r="A19" s="1" t="s">
        <v>161</v>
      </c>
    </row>
    <row r="20" spans="1:4" x14ac:dyDescent="0.3">
      <c r="A20" s="1">
        <v>0.125</v>
      </c>
      <c r="B20" s="48" t="s">
        <v>249</v>
      </c>
    </row>
    <row r="22" spans="1:4" x14ac:dyDescent="0.3">
      <c r="A22" s="1" t="s">
        <v>198</v>
      </c>
    </row>
    <row r="23" spans="1:4" x14ac:dyDescent="0.3">
      <c r="A23" s="4"/>
    </row>
    <row r="24" spans="1:4" x14ac:dyDescent="0.3">
      <c r="A24" s="43" t="s">
        <v>158</v>
      </c>
      <c r="B24" t="s">
        <v>159</v>
      </c>
    </row>
    <row r="25" spans="1:4" x14ac:dyDescent="0.3">
      <c r="A25">
        <v>99.5</v>
      </c>
      <c r="B25">
        <v>100.25</v>
      </c>
      <c r="C25" s="46" t="s">
        <v>238</v>
      </c>
    </row>
    <row r="26" spans="1:4" x14ac:dyDescent="0.3">
      <c r="A26" t="s">
        <v>199</v>
      </c>
    </row>
    <row r="27" spans="1:4" x14ac:dyDescent="0.3">
      <c r="A27" t="s">
        <v>218</v>
      </c>
    </row>
    <row r="28" spans="1:4" x14ac:dyDescent="0.3">
      <c r="A28" s="1" t="s">
        <v>161</v>
      </c>
    </row>
    <row r="29" spans="1:4" x14ac:dyDescent="0.3">
      <c r="A29" s="1">
        <v>0.1875</v>
      </c>
      <c r="B29" s="48" t="s">
        <v>250</v>
      </c>
    </row>
    <row r="30" spans="1:4" hidden="1" x14ac:dyDescent="0.3"/>
    <row r="32" spans="1:4" ht="28.8" x14ac:dyDescent="0.3">
      <c r="A32" t="s">
        <v>3</v>
      </c>
      <c r="B32" s="1" t="s">
        <v>78</v>
      </c>
      <c r="C32" s="40" t="s">
        <v>183</v>
      </c>
      <c r="D32" s="1" t="s">
        <v>145</v>
      </c>
    </row>
    <row r="33" spans="1:8" x14ac:dyDescent="0.3">
      <c r="A33">
        <v>1</v>
      </c>
      <c r="B33">
        <f>$D$4-B4</f>
        <v>0.25</v>
      </c>
      <c r="C33">
        <v>0.5</v>
      </c>
      <c r="D33">
        <f>C33*B33</f>
        <v>0.125</v>
      </c>
      <c r="E33" s="8" t="s">
        <v>162</v>
      </c>
    </row>
    <row r="34" spans="1:8" x14ac:dyDescent="0.3">
      <c r="A34" s="2">
        <v>2</v>
      </c>
      <c r="B34" s="2">
        <f>$D$4-B5</f>
        <v>0.75</v>
      </c>
      <c r="C34" s="2">
        <v>0.25</v>
      </c>
      <c r="D34" s="2">
        <f t="shared" ref="D34:D37" si="1">C34*B34</f>
        <v>0.1875</v>
      </c>
      <c r="E34" s="2"/>
      <c r="F34" s="2"/>
    </row>
    <row r="35" spans="1:8" x14ac:dyDescent="0.3">
      <c r="A35">
        <v>3</v>
      </c>
      <c r="B35">
        <f>$D$4-B6</f>
        <v>1.25</v>
      </c>
      <c r="C35">
        <v>0.1</v>
      </c>
      <c r="D35">
        <f t="shared" si="1"/>
        <v>0.125</v>
      </c>
    </row>
    <row r="36" spans="1:8" x14ac:dyDescent="0.3">
      <c r="A36">
        <v>4</v>
      </c>
      <c r="B36">
        <f>$D$4-B7</f>
        <v>2</v>
      </c>
      <c r="C36">
        <v>0.04</v>
      </c>
      <c r="D36">
        <f t="shared" si="1"/>
        <v>0.08</v>
      </c>
    </row>
    <row r="37" spans="1:8" x14ac:dyDescent="0.3">
      <c r="A37">
        <v>5</v>
      </c>
      <c r="B37">
        <f>$D$4-B8</f>
        <v>2.25</v>
      </c>
      <c r="C37">
        <v>0.02</v>
      </c>
      <c r="D37">
        <f t="shared" si="1"/>
        <v>4.4999999999999998E-2</v>
      </c>
    </row>
    <row r="40" spans="1:8" x14ac:dyDescent="0.3">
      <c r="A40" t="s">
        <v>163</v>
      </c>
    </row>
    <row r="41" spans="1:8" x14ac:dyDescent="0.3">
      <c r="A41" s="2" t="s">
        <v>164</v>
      </c>
      <c r="B41" s="2"/>
      <c r="C41" s="2"/>
      <c r="D41" s="2"/>
      <c r="E41" s="2"/>
      <c r="F41" s="2"/>
      <c r="G41" s="2"/>
      <c r="H41" s="2"/>
    </row>
    <row r="43" spans="1:8" x14ac:dyDescent="0.3">
      <c r="A43" t="s">
        <v>200</v>
      </c>
    </row>
    <row r="45" spans="1:8" x14ac:dyDescent="0.3">
      <c r="A45" s="44">
        <v>500000</v>
      </c>
      <c r="B45" t="s">
        <v>165</v>
      </c>
      <c r="D45" s="47" t="s">
        <v>232</v>
      </c>
      <c r="E45" s="47"/>
      <c r="F45" s="47"/>
      <c r="G45" s="47"/>
    </row>
    <row r="46" spans="1:8" x14ac:dyDescent="0.3">
      <c r="A46" s="44">
        <v>250000</v>
      </c>
      <c r="B46" t="s">
        <v>166</v>
      </c>
      <c r="D46" s="47" t="s">
        <v>189</v>
      </c>
      <c r="E46" s="47"/>
      <c r="F46" s="47"/>
      <c r="G46" s="47"/>
    </row>
    <row r="47" spans="1:8" x14ac:dyDescent="0.3">
      <c r="A47" s="44">
        <v>100000</v>
      </c>
      <c r="B47" t="s">
        <v>167</v>
      </c>
    </row>
    <row r="48" spans="1:8" x14ac:dyDescent="0.3">
      <c r="A48" t="s">
        <v>168</v>
      </c>
      <c r="B48" t="s">
        <v>169</v>
      </c>
      <c r="G48" t="s">
        <v>188</v>
      </c>
    </row>
    <row r="51" spans="1:12" x14ac:dyDescent="0.3">
      <c r="A51" s="46" t="s">
        <v>6</v>
      </c>
      <c r="B51" s="47" t="s">
        <v>1</v>
      </c>
      <c r="C51" s="47" t="s">
        <v>2</v>
      </c>
      <c r="D51" t="s">
        <v>3</v>
      </c>
    </row>
    <row r="52" spans="1:12" x14ac:dyDescent="0.3">
      <c r="A52" s="46">
        <v>5</v>
      </c>
      <c r="B52" s="46">
        <v>100</v>
      </c>
      <c r="C52" s="46">
        <v>100.5</v>
      </c>
      <c r="D52">
        <v>1</v>
      </c>
    </row>
    <row r="53" spans="1:12" x14ac:dyDescent="0.3">
      <c r="A53" s="46">
        <v>10</v>
      </c>
      <c r="B53" s="46">
        <v>99.5</v>
      </c>
      <c r="C53" s="46">
        <v>101</v>
      </c>
      <c r="D53" s="4">
        <f>D52+1</f>
        <v>2</v>
      </c>
    </row>
    <row r="54" spans="1:12" x14ac:dyDescent="0.3">
      <c r="A54" s="46">
        <v>25</v>
      </c>
      <c r="B54" s="46">
        <v>99</v>
      </c>
      <c r="C54" s="46">
        <v>101.5</v>
      </c>
      <c r="D54" s="4">
        <f t="shared" ref="D54:D56" si="2">D53+1</f>
        <v>3</v>
      </c>
    </row>
    <row r="55" spans="1:12" x14ac:dyDescent="0.3">
      <c r="A55" s="46">
        <v>20</v>
      </c>
      <c r="B55" s="46">
        <v>98.25</v>
      </c>
      <c r="C55" s="46">
        <v>102.5</v>
      </c>
      <c r="D55" s="4">
        <f t="shared" si="2"/>
        <v>4</v>
      </c>
    </row>
    <row r="56" spans="1:12" x14ac:dyDescent="0.3">
      <c r="A56" s="46">
        <v>40</v>
      </c>
      <c r="B56" s="46">
        <v>98</v>
      </c>
      <c r="C56" s="46">
        <v>103</v>
      </c>
      <c r="D56" s="4">
        <f t="shared" si="2"/>
        <v>5</v>
      </c>
    </row>
    <row r="59" spans="1:12" x14ac:dyDescent="0.3">
      <c r="A59" s="47" t="s">
        <v>221</v>
      </c>
      <c r="B59" s="47"/>
      <c r="C59" s="47"/>
      <c r="D59" s="23" t="s">
        <v>258</v>
      </c>
      <c r="F59" s="47" t="s">
        <v>257</v>
      </c>
      <c r="G59" s="47" t="s">
        <v>256</v>
      </c>
      <c r="J59" s="47" t="s">
        <v>259</v>
      </c>
      <c r="K59" s="47"/>
      <c r="L59" s="47">
        <f>SUM(H60:H62)/SUM(G60:G62)</f>
        <v>99.25</v>
      </c>
    </row>
    <row r="60" spans="1:12" x14ac:dyDescent="0.3">
      <c r="A60" s="48" t="s">
        <v>222</v>
      </c>
      <c r="F60">
        <v>100</v>
      </c>
      <c r="G60">
        <v>5</v>
      </c>
      <c r="H60">
        <f>G60*F60</f>
        <v>500</v>
      </c>
    </row>
    <row r="61" spans="1:12" x14ac:dyDescent="0.3">
      <c r="A61" s="48" t="s">
        <v>223</v>
      </c>
      <c r="F61">
        <v>99.5</v>
      </c>
      <c r="G61">
        <v>10</v>
      </c>
      <c r="H61" s="46">
        <f t="shared" ref="H61:H62" si="3">G61*F61</f>
        <v>995</v>
      </c>
    </row>
    <row r="62" spans="1:12" x14ac:dyDescent="0.3">
      <c r="A62" s="48" t="s">
        <v>224</v>
      </c>
      <c r="F62">
        <v>99</v>
      </c>
      <c r="G62">
        <v>25</v>
      </c>
      <c r="H62" s="46">
        <f t="shared" si="3"/>
        <v>2475</v>
      </c>
    </row>
    <row r="63" spans="1:12" x14ac:dyDescent="0.3">
      <c r="A63" s="46"/>
    </row>
  </sheetData>
  <hyperlinks>
    <hyperlink ref="A15" r:id="rId1"/>
    <hyperlink ref="A24" r:id="rId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G89"/>
  <sheetViews>
    <sheetView topLeftCell="A28" zoomScale="150" zoomScaleNormal="150" workbookViewId="0">
      <selection activeCell="F40" sqref="F40"/>
    </sheetView>
  </sheetViews>
  <sheetFormatPr defaultRowHeight="14.4" x14ac:dyDescent="0.3"/>
  <sheetData>
    <row r="2" spans="1:7" x14ac:dyDescent="0.3">
      <c r="A2" t="s">
        <v>4</v>
      </c>
    </row>
    <row r="3" spans="1:7" x14ac:dyDescent="0.3">
      <c r="C3" s="1" t="s">
        <v>0</v>
      </c>
    </row>
    <row r="4" spans="1:7" x14ac:dyDescent="0.3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7" x14ac:dyDescent="0.3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7" x14ac:dyDescent="0.3">
      <c r="A6">
        <v>2</v>
      </c>
      <c r="B6">
        <v>13</v>
      </c>
      <c r="C6" s="2">
        <v>99.5</v>
      </c>
      <c r="D6">
        <v>101</v>
      </c>
      <c r="E6">
        <v>35</v>
      </c>
    </row>
    <row r="7" spans="1:7" x14ac:dyDescent="0.3">
      <c r="A7">
        <v>3</v>
      </c>
      <c r="B7">
        <v>10</v>
      </c>
      <c r="C7">
        <v>99</v>
      </c>
      <c r="D7">
        <v>101.5</v>
      </c>
      <c r="E7">
        <v>5</v>
      </c>
    </row>
    <row r="8" spans="1:7" x14ac:dyDescent="0.3">
      <c r="A8">
        <v>4</v>
      </c>
      <c r="B8">
        <v>20</v>
      </c>
      <c r="C8">
        <v>98.25</v>
      </c>
      <c r="D8">
        <v>102.5</v>
      </c>
      <c r="E8">
        <v>2</v>
      </c>
    </row>
    <row r="9" spans="1:7" x14ac:dyDescent="0.3">
      <c r="A9">
        <v>5</v>
      </c>
      <c r="B9">
        <v>5</v>
      </c>
      <c r="C9">
        <v>98</v>
      </c>
      <c r="D9">
        <v>103</v>
      </c>
      <c r="E9">
        <v>15</v>
      </c>
    </row>
    <row r="12" spans="1:7" x14ac:dyDescent="0.3">
      <c r="A12" s="1" t="s">
        <v>18</v>
      </c>
    </row>
    <row r="13" spans="1:7" x14ac:dyDescent="0.3">
      <c r="A13" t="s">
        <v>5</v>
      </c>
    </row>
    <row r="14" spans="1:7" x14ac:dyDescent="0.3">
      <c r="C14" s="1" t="s">
        <v>0</v>
      </c>
    </row>
    <row r="15" spans="1:7" x14ac:dyDescent="0.3">
      <c r="A15" t="s">
        <v>3</v>
      </c>
      <c r="B15" t="s">
        <v>6</v>
      </c>
      <c r="C15" t="s">
        <v>1</v>
      </c>
      <c r="D15" t="s">
        <v>2</v>
      </c>
      <c r="E15" t="s">
        <v>6</v>
      </c>
      <c r="G15" s="1" t="s">
        <v>19</v>
      </c>
    </row>
    <row r="16" spans="1:7" x14ac:dyDescent="0.3">
      <c r="A16">
        <v>1</v>
      </c>
      <c r="B16" s="1">
        <v>1</v>
      </c>
      <c r="C16" s="4">
        <v>100</v>
      </c>
      <c r="D16" s="4">
        <v>100.5</v>
      </c>
      <c r="E16">
        <v>15</v>
      </c>
    </row>
    <row r="17" spans="1:7" x14ac:dyDescent="0.3">
      <c r="A17">
        <v>2</v>
      </c>
      <c r="B17">
        <v>13</v>
      </c>
      <c r="C17" s="2">
        <v>99.5</v>
      </c>
      <c r="D17">
        <v>101</v>
      </c>
      <c r="E17">
        <v>35</v>
      </c>
    </row>
    <row r="18" spans="1:7" x14ac:dyDescent="0.3">
      <c r="A18">
        <v>3</v>
      </c>
      <c r="B18">
        <v>10</v>
      </c>
      <c r="C18">
        <v>99</v>
      </c>
      <c r="D18">
        <v>101.5</v>
      </c>
      <c r="E18">
        <v>5</v>
      </c>
    </row>
    <row r="19" spans="1:7" x14ac:dyDescent="0.3">
      <c r="A19">
        <v>4</v>
      </c>
      <c r="B19">
        <v>20</v>
      </c>
      <c r="C19">
        <v>98.25</v>
      </c>
      <c r="D19">
        <v>102.5</v>
      </c>
      <c r="E19">
        <v>2</v>
      </c>
    </row>
    <row r="20" spans="1:7" x14ac:dyDescent="0.3">
      <c r="A20">
        <v>5</v>
      </c>
      <c r="B20">
        <v>5</v>
      </c>
      <c r="C20">
        <v>98</v>
      </c>
      <c r="D20">
        <v>103</v>
      </c>
      <c r="E20">
        <v>15</v>
      </c>
    </row>
    <row r="23" spans="1:7" x14ac:dyDescent="0.3">
      <c r="A23" s="1" t="s">
        <v>20</v>
      </c>
    </row>
    <row r="24" spans="1:7" x14ac:dyDescent="0.3">
      <c r="A24" t="s">
        <v>17</v>
      </c>
    </row>
    <row r="25" spans="1:7" x14ac:dyDescent="0.3">
      <c r="C25" s="1" t="s">
        <v>0</v>
      </c>
    </row>
    <row r="26" spans="1:7" x14ac:dyDescent="0.3">
      <c r="A26" t="s">
        <v>3</v>
      </c>
      <c r="B26" t="s">
        <v>6</v>
      </c>
      <c r="C26" t="s">
        <v>1</v>
      </c>
      <c r="D26" t="s">
        <v>2</v>
      </c>
      <c r="E26" t="s">
        <v>6</v>
      </c>
      <c r="G26" s="1" t="s">
        <v>21</v>
      </c>
    </row>
    <row r="27" spans="1:7" x14ac:dyDescent="0.3">
      <c r="A27">
        <v>1</v>
      </c>
      <c r="B27" s="1">
        <v>9</v>
      </c>
      <c r="C27" s="6">
        <v>99.5</v>
      </c>
      <c r="D27" s="4">
        <v>100.5</v>
      </c>
      <c r="E27">
        <v>15</v>
      </c>
      <c r="G27" s="1" t="s">
        <v>201</v>
      </c>
    </row>
    <row r="28" spans="1:7" x14ac:dyDescent="0.3">
      <c r="A28">
        <v>2</v>
      </c>
      <c r="B28">
        <v>10</v>
      </c>
      <c r="C28">
        <v>99</v>
      </c>
      <c r="D28">
        <v>101</v>
      </c>
      <c r="E28">
        <v>35</v>
      </c>
    </row>
    <row r="29" spans="1:7" x14ac:dyDescent="0.3">
      <c r="A29">
        <v>3</v>
      </c>
      <c r="B29">
        <v>20</v>
      </c>
      <c r="C29">
        <v>98.25</v>
      </c>
      <c r="D29">
        <v>101.5</v>
      </c>
      <c r="E29">
        <v>5</v>
      </c>
    </row>
    <row r="30" spans="1:7" x14ac:dyDescent="0.3">
      <c r="A30">
        <v>4</v>
      </c>
      <c r="B30">
        <v>5</v>
      </c>
      <c r="C30">
        <v>98</v>
      </c>
      <c r="D30">
        <v>102.5</v>
      </c>
      <c r="E30">
        <v>2</v>
      </c>
    </row>
    <row r="31" spans="1:7" x14ac:dyDescent="0.3">
      <c r="A31">
        <v>5</v>
      </c>
      <c r="D31">
        <v>103</v>
      </c>
      <c r="E31">
        <v>15</v>
      </c>
    </row>
    <row r="33" spans="1:5" x14ac:dyDescent="0.3">
      <c r="A33" s="1" t="s">
        <v>190</v>
      </c>
    </row>
    <row r="34" spans="1:5" x14ac:dyDescent="0.3">
      <c r="A34" t="s">
        <v>117</v>
      </c>
    </row>
    <row r="35" spans="1:5" x14ac:dyDescent="0.3">
      <c r="C35" s="1" t="s">
        <v>0</v>
      </c>
    </row>
    <row r="36" spans="1:5" x14ac:dyDescent="0.3">
      <c r="A36" t="s">
        <v>3</v>
      </c>
      <c r="B36" t="s">
        <v>6</v>
      </c>
      <c r="C36" t="s">
        <v>1</v>
      </c>
      <c r="D36" t="s">
        <v>2</v>
      </c>
      <c r="E36" t="s">
        <v>6</v>
      </c>
    </row>
    <row r="37" spans="1:5" x14ac:dyDescent="0.3">
      <c r="A37">
        <v>1</v>
      </c>
      <c r="B37" s="1">
        <v>4</v>
      </c>
      <c r="C37" s="6">
        <v>99.5</v>
      </c>
      <c r="D37" s="4">
        <v>100.5</v>
      </c>
      <c r="E37">
        <v>15</v>
      </c>
    </row>
    <row r="38" spans="1:5" x14ac:dyDescent="0.3">
      <c r="A38">
        <v>2</v>
      </c>
      <c r="B38">
        <v>15</v>
      </c>
      <c r="C38">
        <v>99</v>
      </c>
      <c r="D38">
        <v>101</v>
      </c>
      <c r="E38">
        <v>35</v>
      </c>
    </row>
    <row r="39" spans="1:5" x14ac:dyDescent="0.3">
      <c r="A39">
        <v>3</v>
      </c>
      <c r="B39">
        <v>20</v>
      </c>
      <c r="C39">
        <v>98.25</v>
      </c>
      <c r="D39">
        <v>101.5</v>
      </c>
      <c r="E39">
        <v>5</v>
      </c>
    </row>
    <row r="40" spans="1:5" x14ac:dyDescent="0.3">
      <c r="A40">
        <v>4</v>
      </c>
      <c r="B40">
        <v>5</v>
      </c>
      <c r="C40">
        <v>98</v>
      </c>
      <c r="D40">
        <v>102.5</v>
      </c>
      <c r="E40">
        <v>2</v>
      </c>
    </row>
    <row r="41" spans="1:5" x14ac:dyDescent="0.3">
      <c r="A41">
        <v>5</v>
      </c>
      <c r="D41">
        <v>103</v>
      </c>
      <c r="E41">
        <v>15</v>
      </c>
    </row>
    <row r="45" spans="1:5" x14ac:dyDescent="0.3">
      <c r="A45" s="1" t="s">
        <v>116</v>
      </c>
    </row>
    <row r="47" spans="1:5" x14ac:dyDescent="0.3">
      <c r="A47" s="1" t="s">
        <v>202</v>
      </c>
    </row>
    <row r="49" spans="1:1" x14ac:dyDescent="0.3">
      <c r="A49" t="s">
        <v>191</v>
      </c>
    </row>
    <row r="54" spans="1:1" hidden="1" x14ac:dyDescent="0.3"/>
    <row r="55" spans="1:1" hidden="1" x14ac:dyDescent="0.3"/>
    <row r="56" spans="1:1" hidden="1" x14ac:dyDescent="0.3"/>
    <row r="57" spans="1:1" hidden="1" x14ac:dyDescent="0.3"/>
    <row r="58" spans="1:1" hidden="1" x14ac:dyDescent="0.3"/>
    <row r="59" spans="1:1" hidden="1" x14ac:dyDescent="0.3"/>
    <row r="60" spans="1:1" hidden="1" x14ac:dyDescent="0.3"/>
    <row r="61" spans="1:1" hidden="1" x14ac:dyDescent="0.3"/>
    <row r="62" spans="1:1" hidden="1" x14ac:dyDescent="0.3"/>
    <row r="63" spans="1:1" hidden="1" x14ac:dyDescent="0.3"/>
    <row r="64" spans="1:1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H53"/>
  <sheetViews>
    <sheetView topLeftCell="A28" zoomScale="150" zoomScaleNormal="150" workbookViewId="0">
      <selection activeCell="D38" sqref="D38:D42"/>
    </sheetView>
  </sheetViews>
  <sheetFormatPr defaultRowHeight="14.4" x14ac:dyDescent="0.3"/>
  <cols>
    <col min="8" max="8" width="0" hidden="1" customWidth="1"/>
  </cols>
  <sheetData>
    <row r="2" spans="1:8" x14ac:dyDescent="0.3">
      <c r="A2" t="s">
        <v>7</v>
      </c>
    </row>
    <row r="3" spans="1:8" x14ac:dyDescent="0.3">
      <c r="C3" s="1" t="s">
        <v>0</v>
      </c>
    </row>
    <row r="4" spans="1:8" x14ac:dyDescent="0.3">
      <c r="A4" t="s">
        <v>3</v>
      </c>
      <c r="B4" t="s">
        <v>6</v>
      </c>
      <c r="C4" t="s">
        <v>1</v>
      </c>
      <c r="D4" t="s">
        <v>2</v>
      </c>
      <c r="E4" t="s">
        <v>6</v>
      </c>
      <c r="H4" t="s">
        <v>76</v>
      </c>
    </row>
    <row r="5" spans="1:8" x14ac:dyDescent="0.3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8" x14ac:dyDescent="0.3">
      <c r="A6">
        <v>2</v>
      </c>
      <c r="B6">
        <v>3</v>
      </c>
      <c r="C6">
        <v>99.5</v>
      </c>
      <c r="D6">
        <v>101</v>
      </c>
      <c r="E6">
        <v>35</v>
      </c>
    </row>
    <row r="7" spans="1:8" x14ac:dyDescent="0.3">
      <c r="A7">
        <v>3</v>
      </c>
      <c r="B7">
        <v>10</v>
      </c>
      <c r="C7">
        <v>99</v>
      </c>
      <c r="D7">
        <v>101.5</v>
      </c>
      <c r="E7">
        <v>5</v>
      </c>
    </row>
    <row r="8" spans="1:8" x14ac:dyDescent="0.3">
      <c r="A8">
        <v>4</v>
      </c>
      <c r="B8">
        <v>20</v>
      </c>
      <c r="C8">
        <v>98.25</v>
      </c>
      <c r="D8">
        <v>102.5</v>
      </c>
      <c r="E8">
        <v>2</v>
      </c>
    </row>
    <row r="9" spans="1:8" x14ac:dyDescent="0.3">
      <c r="A9">
        <v>5</v>
      </c>
      <c r="B9">
        <v>5</v>
      </c>
      <c r="C9">
        <v>98</v>
      </c>
      <c r="D9">
        <v>103</v>
      </c>
      <c r="E9">
        <v>15</v>
      </c>
    </row>
    <row r="10" spans="1:8" x14ac:dyDescent="0.3">
      <c r="A10" t="s">
        <v>192</v>
      </c>
    </row>
    <row r="11" spans="1:8" x14ac:dyDescent="0.3">
      <c r="A11" t="s">
        <v>47</v>
      </c>
    </row>
    <row r="12" spans="1:8" x14ac:dyDescent="0.3">
      <c r="A12" s="1" t="s">
        <v>26</v>
      </c>
    </row>
    <row r="14" spans="1:8" x14ac:dyDescent="0.3">
      <c r="A14" t="s">
        <v>4</v>
      </c>
      <c r="D14" s="1" t="s">
        <v>0</v>
      </c>
    </row>
    <row r="15" spans="1:8" x14ac:dyDescent="0.3">
      <c r="A15" t="s">
        <v>3</v>
      </c>
      <c r="B15" t="s">
        <v>6</v>
      </c>
      <c r="C15" t="s">
        <v>1</v>
      </c>
      <c r="D15" t="s">
        <v>2</v>
      </c>
      <c r="E15" t="s">
        <v>6</v>
      </c>
    </row>
    <row r="16" spans="1:8" x14ac:dyDescent="0.3">
      <c r="A16">
        <v>1</v>
      </c>
      <c r="B16" s="1">
        <v>5</v>
      </c>
      <c r="C16" s="1">
        <v>100.75</v>
      </c>
      <c r="D16" s="1">
        <v>101</v>
      </c>
      <c r="E16">
        <v>35</v>
      </c>
      <c r="G16" s="1" t="s">
        <v>48</v>
      </c>
      <c r="H16" s="1"/>
    </row>
    <row r="17" spans="1:7" x14ac:dyDescent="0.3">
      <c r="A17">
        <v>2</v>
      </c>
      <c r="B17">
        <v>5</v>
      </c>
      <c r="C17" s="4">
        <v>100</v>
      </c>
      <c r="D17">
        <v>101.5</v>
      </c>
      <c r="E17">
        <v>5</v>
      </c>
    </row>
    <row r="18" spans="1:7" x14ac:dyDescent="0.3">
      <c r="A18">
        <v>3</v>
      </c>
      <c r="B18">
        <v>13</v>
      </c>
      <c r="C18">
        <v>99.5</v>
      </c>
      <c r="D18">
        <v>102.5</v>
      </c>
      <c r="E18">
        <v>2</v>
      </c>
    </row>
    <row r="19" spans="1:7" x14ac:dyDescent="0.3">
      <c r="A19">
        <v>4</v>
      </c>
      <c r="B19">
        <v>10</v>
      </c>
      <c r="C19">
        <v>99</v>
      </c>
      <c r="D19">
        <v>103</v>
      </c>
      <c r="E19">
        <v>15</v>
      </c>
    </row>
    <row r="20" spans="1:7" x14ac:dyDescent="0.3">
      <c r="A20">
        <v>5</v>
      </c>
      <c r="B20">
        <v>20</v>
      </c>
      <c r="C20">
        <v>98.25</v>
      </c>
    </row>
    <row r="21" spans="1:7" x14ac:dyDescent="0.3">
      <c r="B21">
        <v>5</v>
      </c>
      <c r="C21">
        <v>98</v>
      </c>
    </row>
    <row r="22" spans="1:7" x14ac:dyDescent="0.3">
      <c r="A22" t="s">
        <v>193</v>
      </c>
    </row>
    <row r="23" spans="1:7" x14ac:dyDescent="0.3">
      <c r="A23" t="s">
        <v>47</v>
      </c>
    </row>
    <row r="24" spans="1:7" x14ac:dyDescent="0.3">
      <c r="A24" s="1" t="s">
        <v>49</v>
      </c>
    </row>
    <row r="26" spans="1:7" x14ac:dyDescent="0.3">
      <c r="C26" s="1" t="s">
        <v>0</v>
      </c>
    </row>
    <row r="27" spans="1:7" x14ac:dyDescent="0.3">
      <c r="A27" t="s">
        <v>3</v>
      </c>
      <c r="B27" t="s">
        <v>6</v>
      </c>
      <c r="C27" t="s">
        <v>1</v>
      </c>
      <c r="D27" t="s">
        <v>2</v>
      </c>
      <c r="E27" t="s">
        <v>6</v>
      </c>
    </row>
    <row r="28" spans="1:7" x14ac:dyDescent="0.3">
      <c r="A28">
        <v>1</v>
      </c>
      <c r="B28">
        <v>5</v>
      </c>
      <c r="C28" s="1">
        <v>100</v>
      </c>
      <c r="D28" s="1">
        <v>101</v>
      </c>
      <c r="E28">
        <v>30</v>
      </c>
      <c r="G28" s="1" t="s">
        <v>51</v>
      </c>
    </row>
    <row r="29" spans="1:7" x14ac:dyDescent="0.3">
      <c r="A29">
        <v>2</v>
      </c>
      <c r="B29">
        <v>3</v>
      </c>
      <c r="C29">
        <v>99.5</v>
      </c>
      <c r="D29">
        <v>101.5</v>
      </c>
      <c r="E29">
        <v>5</v>
      </c>
      <c r="G29" s="1" t="s">
        <v>50</v>
      </c>
    </row>
    <row r="30" spans="1:7" x14ac:dyDescent="0.3">
      <c r="A30">
        <v>3</v>
      </c>
      <c r="B30">
        <v>10</v>
      </c>
      <c r="C30">
        <v>99</v>
      </c>
      <c r="D30">
        <v>102.5</v>
      </c>
      <c r="E30">
        <v>2</v>
      </c>
    </row>
    <row r="31" spans="1:7" x14ac:dyDescent="0.3">
      <c r="A31">
        <v>4</v>
      </c>
      <c r="B31">
        <v>20</v>
      </c>
      <c r="C31">
        <v>98.25</v>
      </c>
      <c r="D31">
        <v>103</v>
      </c>
      <c r="E31">
        <v>15</v>
      </c>
    </row>
    <row r="32" spans="1:7" x14ac:dyDescent="0.3">
      <c r="A32">
        <v>5</v>
      </c>
      <c r="B32">
        <v>5</v>
      </c>
      <c r="C32">
        <v>98</v>
      </c>
    </row>
    <row r="35" spans="1:7" x14ac:dyDescent="0.3">
      <c r="A35" t="s">
        <v>7</v>
      </c>
    </row>
    <row r="36" spans="1:7" x14ac:dyDescent="0.3">
      <c r="C36" s="1" t="s">
        <v>0</v>
      </c>
    </row>
    <row r="37" spans="1:7" x14ac:dyDescent="0.3">
      <c r="A37" t="s">
        <v>3</v>
      </c>
      <c r="B37" t="s">
        <v>6</v>
      </c>
      <c r="C37" t="s">
        <v>1</v>
      </c>
      <c r="D37" t="s">
        <v>2</v>
      </c>
      <c r="E37" t="s">
        <v>6</v>
      </c>
    </row>
    <row r="38" spans="1:7" x14ac:dyDescent="0.3">
      <c r="A38">
        <v>1</v>
      </c>
      <c r="B38">
        <v>5</v>
      </c>
      <c r="C38" s="1">
        <v>100</v>
      </c>
      <c r="D38" s="1">
        <v>100.5</v>
      </c>
      <c r="E38">
        <v>15</v>
      </c>
    </row>
    <row r="39" spans="1:7" x14ac:dyDescent="0.3">
      <c r="A39">
        <v>2</v>
      </c>
      <c r="B39">
        <v>3</v>
      </c>
      <c r="C39">
        <v>99.5</v>
      </c>
      <c r="D39">
        <v>101</v>
      </c>
      <c r="E39">
        <v>35</v>
      </c>
    </row>
    <row r="40" spans="1:7" x14ac:dyDescent="0.3">
      <c r="A40">
        <v>3</v>
      </c>
      <c r="B40">
        <v>10</v>
      </c>
      <c r="C40">
        <v>99</v>
      </c>
      <c r="D40">
        <v>101.5</v>
      </c>
      <c r="E40">
        <v>5</v>
      </c>
    </row>
    <row r="41" spans="1:7" x14ac:dyDescent="0.3">
      <c r="A41">
        <v>4</v>
      </c>
      <c r="B41">
        <v>20</v>
      </c>
      <c r="C41">
        <v>98.25</v>
      </c>
      <c r="D41">
        <v>102.5</v>
      </c>
      <c r="E41">
        <v>2</v>
      </c>
    </row>
    <row r="42" spans="1:7" x14ac:dyDescent="0.3">
      <c r="A42">
        <v>5</v>
      </c>
      <c r="B42">
        <v>5</v>
      </c>
      <c r="C42">
        <v>98</v>
      </c>
      <c r="D42">
        <v>103</v>
      </c>
      <c r="E42">
        <v>15</v>
      </c>
    </row>
    <row r="44" spans="1:7" x14ac:dyDescent="0.3">
      <c r="A44" t="s">
        <v>47</v>
      </c>
    </row>
    <row r="45" spans="1:7" x14ac:dyDescent="0.3">
      <c r="A45" s="1" t="s">
        <v>52</v>
      </c>
      <c r="B45" s="1"/>
      <c r="C45" s="1"/>
      <c r="D45" s="1"/>
    </row>
    <row r="46" spans="1:7" x14ac:dyDescent="0.3">
      <c r="C46" s="1" t="s">
        <v>0</v>
      </c>
    </row>
    <row r="47" spans="1:7" x14ac:dyDescent="0.3">
      <c r="A47" t="s">
        <v>3</v>
      </c>
      <c r="B47" t="s">
        <v>6</v>
      </c>
      <c r="C47" t="s">
        <v>1</v>
      </c>
      <c r="D47" t="s">
        <v>2</v>
      </c>
      <c r="E47" t="s">
        <v>6</v>
      </c>
    </row>
    <row r="48" spans="1:7" x14ac:dyDescent="0.3">
      <c r="A48">
        <v>1</v>
      </c>
      <c r="B48">
        <v>10</v>
      </c>
      <c r="C48">
        <v>99</v>
      </c>
      <c r="D48" s="1">
        <v>99.2</v>
      </c>
      <c r="E48" s="1">
        <v>4</v>
      </c>
      <c r="G48" t="s">
        <v>53</v>
      </c>
    </row>
    <row r="49" spans="1:7" x14ac:dyDescent="0.3">
      <c r="A49">
        <v>2</v>
      </c>
      <c r="B49">
        <v>20</v>
      </c>
      <c r="C49">
        <v>98.25</v>
      </c>
      <c r="D49" s="4">
        <v>100.5</v>
      </c>
      <c r="E49">
        <v>15</v>
      </c>
      <c r="G49" t="s">
        <v>54</v>
      </c>
    </row>
    <row r="50" spans="1:7" x14ac:dyDescent="0.3">
      <c r="A50">
        <v>3</v>
      </c>
      <c r="B50">
        <v>5</v>
      </c>
      <c r="C50">
        <v>98</v>
      </c>
      <c r="D50">
        <v>101</v>
      </c>
      <c r="E50">
        <v>35</v>
      </c>
    </row>
    <row r="51" spans="1:7" x14ac:dyDescent="0.3">
      <c r="A51">
        <v>4</v>
      </c>
      <c r="D51">
        <v>101.5</v>
      </c>
      <c r="E51">
        <v>5</v>
      </c>
    </row>
    <row r="52" spans="1:7" x14ac:dyDescent="0.3">
      <c r="A52">
        <v>5</v>
      </c>
      <c r="D52">
        <v>102.5</v>
      </c>
      <c r="E52">
        <v>2</v>
      </c>
    </row>
    <row r="53" spans="1:7" x14ac:dyDescent="0.3">
      <c r="D53">
        <v>103</v>
      </c>
      <c r="E53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G49"/>
  <sheetViews>
    <sheetView topLeftCell="A25" zoomScale="150" zoomScaleNormal="150" workbookViewId="0">
      <selection activeCell="A30" sqref="A30:M30"/>
    </sheetView>
  </sheetViews>
  <sheetFormatPr defaultRowHeight="14.4" x14ac:dyDescent="0.3"/>
  <sheetData>
    <row r="2" spans="1:5" x14ac:dyDescent="0.3">
      <c r="A2" t="s">
        <v>7</v>
      </c>
    </row>
    <row r="3" spans="1:5" x14ac:dyDescent="0.3">
      <c r="C3" s="1" t="s">
        <v>0</v>
      </c>
    </row>
    <row r="4" spans="1:5" x14ac:dyDescent="0.3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5" x14ac:dyDescent="0.3">
      <c r="A5">
        <v>1</v>
      </c>
      <c r="B5">
        <v>5</v>
      </c>
      <c r="C5" s="1">
        <v>100</v>
      </c>
      <c r="D5" s="1">
        <v>100.5</v>
      </c>
      <c r="E5">
        <v>15</v>
      </c>
    </row>
    <row r="6" spans="1:5" x14ac:dyDescent="0.3">
      <c r="A6">
        <v>2</v>
      </c>
      <c r="B6">
        <v>3</v>
      </c>
      <c r="C6">
        <v>99.5</v>
      </c>
      <c r="D6">
        <v>101</v>
      </c>
      <c r="E6">
        <v>35</v>
      </c>
    </row>
    <row r="7" spans="1:5" x14ac:dyDescent="0.3">
      <c r="A7">
        <v>3</v>
      </c>
      <c r="B7">
        <v>10</v>
      </c>
      <c r="C7">
        <v>99</v>
      </c>
      <c r="D7">
        <v>101.5</v>
      </c>
      <c r="E7">
        <v>5</v>
      </c>
    </row>
    <row r="8" spans="1:5" x14ac:dyDescent="0.3">
      <c r="A8">
        <v>4</v>
      </c>
      <c r="B8">
        <v>20</v>
      </c>
      <c r="C8">
        <v>98.25</v>
      </c>
      <c r="D8">
        <v>102.5</v>
      </c>
      <c r="E8">
        <v>2</v>
      </c>
    </row>
    <row r="9" spans="1:5" x14ac:dyDescent="0.3">
      <c r="A9">
        <v>5</v>
      </c>
      <c r="B9">
        <v>5</v>
      </c>
      <c r="C9">
        <v>98</v>
      </c>
      <c r="D9">
        <v>103</v>
      </c>
      <c r="E9">
        <v>15</v>
      </c>
    </row>
    <row r="11" spans="1:5" x14ac:dyDescent="0.3">
      <c r="A11" t="s">
        <v>27</v>
      </c>
    </row>
    <row r="12" spans="1:5" x14ac:dyDescent="0.3">
      <c r="A12" t="s">
        <v>146</v>
      </c>
    </row>
    <row r="14" spans="1:5" x14ac:dyDescent="0.3">
      <c r="A14" s="1" t="s">
        <v>203</v>
      </c>
    </row>
    <row r="15" spans="1:5" x14ac:dyDescent="0.3">
      <c r="A15" s="1" t="s">
        <v>204</v>
      </c>
    </row>
    <row r="17" spans="1:7" x14ac:dyDescent="0.3">
      <c r="A17" t="s">
        <v>55</v>
      </c>
    </row>
    <row r="18" spans="1:7" x14ac:dyDescent="0.3">
      <c r="A18" t="s">
        <v>29</v>
      </c>
    </row>
    <row r="19" spans="1:7" x14ac:dyDescent="0.3">
      <c r="C19" s="1" t="s">
        <v>0</v>
      </c>
    </row>
    <row r="20" spans="1:7" x14ac:dyDescent="0.3">
      <c r="A20" t="s">
        <v>3</v>
      </c>
      <c r="B20" t="s">
        <v>6</v>
      </c>
      <c r="C20" t="s">
        <v>1</v>
      </c>
      <c r="D20" t="s">
        <v>2</v>
      </c>
      <c r="E20" t="s">
        <v>6</v>
      </c>
    </row>
    <row r="21" spans="1:7" x14ac:dyDescent="0.3">
      <c r="A21">
        <v>1</v>
      </c>
      <c r="B21">
        <v>5</v>
      </c>
      <c r="C21" s="1">
        <v>100</v>
      </c>
      <c r="D21" s="1">
        <v>100.5</v>
      </c>
      <c r="E21">
        <v>15</v>
      </c>
    </row>
    <row r="22" spans="1:7" x14ac:dyDescent="0.3">
      <c r="A22">
        <v>2</v>
      </c>
      <c r="B22">
        <v>3</v>
      </c>
      <c r="C22">
        <v>99.5</v>
      </c>
      <c r="D22">
        <v>101</v>
      </c>
      <c r="E22">
        <v>35</v>
      </c>
    </row>
    <row r="23" spans="1:7" x14ac:dyDescent="0.3">
      <c r="A23">
        <v>3</v>
      </c>
      <c r="B23">
        <v>10</v>
      </c>
      <c r="C23">
        <v>99</v>
      </c>
      <c r="D23">
        <v>101.5</v>
      </c>
      <c r="E23">
        <v>5</v>
      </c>
    </row>
    <row r="24" spans="1:7" x14ac:dyDescent="0.3">
      <c r="A24">
        <v>4</v>
      </c>
      <c r="B24">
        <v>20</v>
      </c>
      <c r="C24">
        <v>98.25</v>
      </c>
      <c r="D24">
        <v>102.5</v>
      </c>
      <c r="E24">
        <v>2</v>
      </c>
    </row>
    <row r="25" spans="1:7" x14ac:dyDescent="0.3">
      <c r="A25">
        <v>5</v>
      </c>
      <c r="B25">
        <v>5</v>
      </c>
      <c r="C25">
        <v>98</v>
      </c>
      <c r="D25">
        <v>103</v>
      </c>
      <c r="E25">
        <v>15</v>
      </c>
    </row>
    <row r="26" spans="1:7" x14ac:dyDescent="0.3">
      <c r="D26" s="1">
        <v>105</v>
      </c>
      <c r="E26" s="1">
        <v>1</v>
      </c>
    </row>
    <row r="29" spans="1:7" x14ac:dyDescent="0.3">
      <c r="A29" t="s">
        <v>28</v>
      </c>
    </row>
    <row r="30" spans="1:7" x14ac:dyDescent="0.3">
      <c r="A30" s="1" t="s">
        <v>118</v>
      </c>
    </row>
    <row r="31" spans="1:7" x14ac:dyDescent="0.3">
      <c r="A31" t="s">
        <v>56</v>
      </c>
    </row>
    <row r="32" spans="1:7" x14ac:dyDescent="0.3">
      <c r="C32" s="1" t="s">
        <v>0</v>
      </c>
      <c r="G32" t="s">
        <v>57</v>
      </c>
    </row>
    <row r="33" spans="1:7" x14ac:dyDescent="0.3">
      <c r="A33" t="s">
        <v>3</v>
      </c>
      <c r="B33" t="s">
        <v>6</v>
      </c>
      <c r="C33" t="s">
        <v>1</v>
      </c>
      <c r="D33" t="s">
        <v>2</v>
      </c>
      <c r="E33" t="s">
        <v>6</v>
      </c>
    </row>
    <row r="34" spans="1:7" x14ac:dyDescent="0.3">
      <c r="A34">
        <v>1</v>
      </c>
      <c r="B34">
        <v>12</v>
      </c>
      <c r="C34" s="1">
        <v>95.1</v>
      </c>
      <c r="D34" s="1">
        <v>95.5</v>
      </c>
      <c r="E34">
        <v>10</v>
      </c>
    </row>
    <row r="35" spans="1:7" x14ac:dyDescent="0.3">
      <c r="A35">
        <v>2</v>
      </c>
      <c r="B35">
        <v>4</v>
      </c>
      <c r="C35">
        <v>95</v>
      </c>
      <c r="D35">
        <v>96</v>
      </c>
      <c r="E35">
        <v>15</v>
      </c>
    </row>
    <row r="36" spans="1:7" x14ac:dyDescent="0.3">
      <c r="A36">
        <v>3</v>
      </c>
      <c r="B36">
        <v>8</v>
      </c>
      <c r="C36">
        <v>94.5</v>
      </c>
      <c r="D36">
        <v>96.1</v>
      </c>
      <c r="E36">
        <v>20</v>
      </c>
    </row>
    <row r="38" spans="1:7" x14ac:dyDescent="0.3">
      <c r="A38" t="s">
        <v>58</v>
      </c>
    </row>
    <row r="39" spans="1:7" x14ac:dyDescent="0.3">
      <c r="C39" s="1" t="s">
        <v>0</v>
      </c>
      <c r="G39" s="1" t="s">
        <v>59</v>
      </c>
    </row>
    <row r="40" spans="1:7" x14ac:dyDescent="0.3">
      <c r="A40" t="s">
        <v>3</v>
      </c>
      <c r="B40" t="s">
        <v>6</v>
      </c>
      <c r="C40" t="s">
        <v>1</v>
      </c>
      <c r="D40" t="s">
        <v>2</v>
      </c>
      <c r="E40" t="s">
        <v>6</v>
      </c>
    </row>
    <row r="41" spans="1:7" x14ac:dyDescent="0.3">
      <c r="A41">
        <v>1</v>
      </c>
      <c r="B41">
        <v>12</v>
      </c>
      <c r="C41" s="1">
        <v>94.9</v>
      </c>
      <c r="D41" s="1">
        <v>95</v>
      </c>
      <c r="E41">
        <v>10</v>
      </c>
    </row>
    <row r="42" spans="1:7" x14ac:dyDescent="0.3">
      <c r="A42">
        <v>2</v>
      </c>
      <c r="B42">
        <v>4</v>
      </c>
      <c r="C42">
        <v>94.75</v>
      </c>
      <c r="D42">
        <v>96</v>
      </c>
      <c r="E42">
        <v>15</v>
      </c>
    </row>
    <row r="43" spans="1:7" x14ac:dyDescent="0.3">
      <c r="A43">
        <v>3</v>
      </c>
      <c r="B43">
        <v>8</v>
      </c>
      <c r="C43">
        <v>94.5</v>
      </c>
      <c r="D43">
        <v>96.1</v>
      </c>
      <c r="E43">
        <v>20</v>
      </c>
    </row>
    <row r="45" spans="1:7" x14ac:dyDescent="0.3">
      <c r="C45" s="1" t="s">
        <v>0</v>
      </c>
    </row>
    <row r="46" spans="1:7" x14ac:dyDescent="0.3">
      <c r="A46" t="s">
        <v>3</v>
      </c>
      <c r="B46" t="s">
        <v>6</v>
      </c>
      <c r="C46" t="s">
        <v>1</v>
      </c>
      <c r="D46" t="s">
        <v>2</v>
      </c>
      <c r="E46" t="s">
        <v>6</v>
      </c>
    </row>
    <row r="47" spans="1:7" x14ac:dyDescent="0.3">
      <c r="A47">
        <v>1</v>
      </c>
      <c r="B47">
        <v>12</v>
      </c>
      <c r="C47" s="1">
        <v>94.9</v>
      </c>
      <c r="D47" s="1">
        <v>95</v>
      </c>
      <c r="E47" s="1">
        <v>11</v>
      </c>
    </row>
    <row r="48" spans="1:7" x14ac:dyDescent="0.3">
      <c r="A48">
        <v>2</v>
      </c>
      <c r="B48">
        <v>4</v>
      </c>
      <c r="C48">
        <v>94.75</v>
      </c>
      <c r="D48">
        <v>96</v>
      </c>
      <c r="E48">
        <v>15</v>
      </c>
    </row>
    <row r="49" spans="1:5" x14ac:dyDescent="0.3">
      <c r="A49">
        <v>3</v>
      </c>
      <c r="B49">
        <v>8</v>
      </c>
      <c r="C49">
        <v>94.5</v>
      </c>
      <c r="D49">
        <v>96.1</v>
      </c>
      <c r="E49">
        <v>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49"/>
  <sheetViews>
    <sheetView topLeftCell="A28" zoomScale="150" zoomScaleNormal="150" workbookViewId="0">
      <selection activeCell="H45" sqref="H45"/>
    </sheetView>
  </sheetViews>
  <sheetFormatPr defaultRowHeight="14.4" x14ac:dyDescent="0.3"/>
  <sheetData>
    <row r="1" spans="1:9" x14ac:dyDescent="0.3">
      <c r="A1" s="1" t="s">
        <v>0</v>
      </c>
      <c r="B1" s="1"/>
      <c r="C1" s="1"/>
      <c r="D1" s="1"/>
      <c r="E1" s="1"/>
      <c r="F1" s="1" t="s">
        <v>0</v>
      </c>
      <c r="G1" s="1"/>
    </row>
    <row r="2" spans="1:9" x14ac:dyDescent="0.3">
      <c r="A2" s="1"/>
      <c r="B2" s="1" t="s">
        <v>119</v>
      </c>
      <c r="C2" s="1"/>
      <c r="D2" s="1"/>
      <c r="E2" s="1"/>
      <c r="F2" s="1"/>
      <c r="G2" s="1" t="s">
        <v>120</v>
      </c>
    </row>
    <row r="3" spans="1:9" x14ac:dyDescent="0.3">
      <c r="A3" t="s">
        <v>6</v>
      </c>
      <c r="B3" t="s">
        <v>31</v>
      </c>
      <c r="C3" t="s">
        <v>31</v>
      </c>
      <c r="D3" t="s">
        <v>6</v>
      </c>
      <c r="F3" t="s">
        <v>6</v>
      </c>
      <c r="G3" t="s">
        <v>31</v>
      </c>
      <c r="H3" t="s">
        <v>31</v>
      </c>
      <c r="I3" t="s">
        <v>6</v>
      </c>
    </row>
    <row r="4" spans="1:9" x14ac:dyDescent="0.3">
      <c r="A4">
        <v>10</v>
      </c>
      <c r="B4">
        <v>100</v>
      </c>
      <c r="C4">
        <v>100.1</v>
      </c>
      <c r="D4">
        <v>20</v>
      </c>
      <c r="F4">
        <v>50</v>
      </c>
      <c r="G4">
        <v>100.15</v>
      </c>
      <c r="H4">
        <v>100.2</v>
      </c>
      <c r="I4">
        <v>20</v>
      </c>
    </row>
    <row r="5" spans="1:9" x14ac:dyDescent="0.3">
      <c r="A5">
        <v>10</v>
      </c>
      <c r="B5">
        <v>99.95</v>
      </c>
      <c r="C5">
        <v>100.15</v>
      </c>
      <c r="D5">
        <v>50</v>
      </c>
      <c r="F5">
        <v>40</v>
      </c>
      <c r="G5">
        <v>100</v>
      </c>
      <c r="H5">
        <v>100.5</v>
      </c>
      <c r="I5">
        <v>10</v>
      </c>
    </row>
    <row r="7" spans="1:9" x14ac:dyDescent="0.3">
      <c r="A7" s="1" t="s">
        <v>32</v>
      </c>
      <c r="F7" s="1" t="s">
        <v>170</v>
      </c>
    </row>
    <row r="8" spans="1:9" x14ac:dyDescent="0.3">
      <c r="A8" t="s">
        <v>121</v>
      </c>
      <c r="F8" t="s">
        <v>171</v>
      </c>
    </row>
    <row r="9" spans="1:9" x14ac:dyDescent="0.3">
      <c r="A9" t="s">
        <v>122</v>
      </c>
      <c r="F9" t="s">
        <v>184</v>
      </c>
    </row>
    <row r="11" spans="1:9" x14ac:dyDescent="0.3">
      <c r="A11" s="1" t="s">
        <v>147</v>
      </c>
    </row>
    <row r="12" spans="1:9" x14ac:dyDescent="0.3">
      <c r="A12" t="s">
        <v>70</v>
      </c>
    </row>
    <row r="13" spans="1:9" x14ac:dyDescent="0.3">
      <c r="A13" s="1" t="s">
        <v>0</v>
      </c>
      <c r="B13" s="1"/>
      <c r="C13" s="1"/>
      <c r="D13" s="1"/>
    </row>
    <row r="14" spans="1:9" x14ac:dyDescent="0.3">
      <c r="A14" s="18"/>
      <c r="B14" s="18" t="s">
        <v>30</v>
      </c>
      <c r="C14" s="18"/>
      <c r="D14" s="18"/>
    </row>
    <row r="15" spans="1:9" x14ac:dyDescent="0.3">
      <c r="A15" s="16" t="s">
        <v>6</v>
      </c>
      <c r="B15" s="16" t="s">
        <v>31</v>
      </c>
      <c r="C15" s="16" t="s">
        <v>31</v>
      </c>
      <c r="D15" s="16" t="s">
        <v>6</v>
      </c>
    </row>
    <row r="16" spans="1:9" x14ac:dyDescent="0.3">
      <c r="A16" s="16">
        <v>10</v>
      </c>
      <c r="B16" s="16">
        <v>100</v>
      </c>
      <c r="C16" s="16">
        <v>100.1</v>
      </c>
      <c r="D16" s="16">
        <v>20</v>
      </c>
    </row>
    <row r="17" spans="1:4" x14ac:dyDescent="0.3">
      <c r="A17" s="16">
        <v>10</v>
      </c>
      <c r="B17" s="16">
        <v>99.95</v>
      </c>
      <c r="C17" s="16">
        <v>100.15</v>
      </c>
      <c r="D17" s="16">
        <v>50</v>
      </c>
    </row>
    <row r="18" spans="1:4" x14ac:dyDescent="0.3">
      <c r="A18" s="10">
        <v>0.41667824074074072</v>
      </c>
      <c r="B18" s="1"/>
      <c r="C18" s="1"/>
      <c r="D18" s="1"/>
    </row>
    <row r="19" spans="1:4" x14ac:dyDescent="0.3">
      <c r="A19" s="1" t="s">
        <v>123</v>
      </c>
      <c r="B19" s="1"/>
      <c r="C19" s="1"/>
      <c r="D19" s="1"/>
    </row>
    <row r="20" spans="1:4" x14ac:dyDescent="0.3">
      <c r="A20" s="9" t="s">
        <v>71</v>
      </c>
    </row>
    <row r="21" spans="1:4" x14ac:dyDescent="0.3">
      <c r="A21" s="19" t="s">
        <v>0</v>
      </c>
      <c r="B21" s="19"/>
      <c r="C21" s="19"/>
      <c r="D21" s="19"/>
    </row>
    <row r="22" spans="1:4" x14ac:dyDescent="0.3">
      <c r="A22" s="19"/>
      <c r="B22" s="19" t="s">
        <v>30</v>
      </c>
      <c r="C22" s="19"/>
      <c r="D22" s="19"/>
    </row>
    <row r="23" spans="1:4" x14ac:dyDescent="0.3">
      <c r="A23" s="5" t="s">
        <v>6</v>
      </c>
      <c r="B23" s="5" t="s">
        <v>31</v>
      </c>
      <c r="C23" s="5" t="s">
        <v>31</v>
      </c>
      <c r="D23" s="5" t="s">
        <v>6</v>
      </c>
    </row>
    <row r="24" spans="1:4" x14ac:dyDescent="0.3">
      <c r="A24" s="5">
        <v>10</v>
      </c>
      <c r="B24" s="5">
        <v>100</v>
      </c>
      <c r="C24" s="5">
        <v>100.1</v>
      </c>
      <c r="D24" s="5">
        <v>15</v>
      </c>
    </row>
    <row r="25" spans="1:4" x14ac:dyDescent="0.3">
      <c r="A25" s="5">
        <v>10</v>
      </c>
      <c r="B25" s="5">
        <v>99.95</v>
      </c>
      <c r="C25" s="5">
        <v>100.15</v>
      </c>
      <c r="D25" s="5">
        <v>50</v>
      </c>
    </row>
    <row r="27" spans="1:4" x14ac:dyDescent="0.3">
      <c r="A27" s="1" t="s">
        <v>72</v>
      </c>
    </row>
    <row r="29" spans="1:4" x14ac:dyDescent="0.3">
      <c r="A29" s="1" t="s">
        <v>148</v>
      </c>
    </row>
    <row r="30" spans="1:4" x14ac:dyDescent="0.3">
      <c r="A30" t="s">
        <v>70</v>
      </c>
    </row>
    <row r="31" spans="1:4" x14ac:dyDescent="0.3">
      <c r="A31" s="1" t="s">
        <v>0</v>
      </c>
      <c r="B31" s="1"/>
      <c r="C31" s="1"/>
      <c r="D31" s="1"/>
    </row>
    <row r="32" spans="1:4" x14ac:dyDescent="0.3">
      <c r="A32" s="1"/>
      <c r="B32" s="1" t="s">
        <v>30</v>
      </c>
      <c r="C32" s="1"/>
      <c r="D32" s="1"/>
    </row>
    <row r="33" spans="1:6" x14ac:dyDescent="0.3">
      <c r="A33" t="s">
        <v>6</v>
      </c>
      <c r="B33" t="s">
        <v>31</v>
      </c>
      <c r="C33" t="s">
        <v>31</v>
      </c>
      <c r="D33" t="s">
        <v>6</v>
      </c>
    </row>
    <row r="34" spans="1:6" x14ac:dyDescent="0.3">
      <c r="A34">
        <v>10</v>
      </c>
      <c r="B34">
        <v>100</v>
      </c>
      <c r="C34">
        <v>100.1</v>
      </c>
      <c r="D34">
        <v>20</v>
      </c>
    </row>
    <row r="35" spans="1:6" x14ac:dyDescent="0.3">
      <c r="A35">
        <v>10</v>
      </c>
      <c r="B35">
        <v>99.95</v>
      </c>
      <c r="C35">
        <v>100.15</v>
      </c>
      <c r="D35">
        <v>50</v>
      </c>
    </row>
    <row r="36" spans="1:6" x14ac:dyDescent="0.3">
      <c r="A36" s="10">
        <v>0.41667824074074072</v>
      </c>
      <c r="B36" s="1"/>
      <c r="C36" s="1"/>
      <c r="D36" s="1"/>
    </row>
    <row r="37" spans="1:6" x14ac:dyDescent="0.3">
      <c r="A37" s="1" t="s">
        <v>73</v>
      </c>
      <c r="B37" s="1"/>
      <c r="C37" s="1"/>
      <c r="D37" s="1"/>
    </row>
    <row r="38" spans="1:6" x14ac:dyDescent="0.3">
      <c r="A38" s="9" t="s">
        <v>71</v>
      </c>
    </row>
    <row r="39" spans="1:6" x14ac:dyDescent="0.3">
      <c r="A39" s="1" t="s">
        <v>0</v>
      </c>
      <c r="B39" s="1"/>
      <c r="C39" s="1"/>
      <c r="D39" s="1"/>
    </row>
    <row r="40" spans="1:6" x14ac:dyDescent="0.3">
      <c r="A40" s="1"/>
      <c r="B40" s="1" t="s">
        <v>30</v>
      </c>
      <c r="C40" s="1"/>
      <c r="D40" s="1"/>
    </row>
    <row r="41" spans="1:6" x14ac:dyDescent="0.3">
      <c r="A41" t="s">
        <v>6</v>
      </c>
      <c r="B41" t="s">
        <v>31</v>
      </c>
      <c r="C41" t="s">
        <v>31</v>
      </c>
      <c r="D41" t="s">
        <v>6</v>
      </c>
    </row>
    <row r="42" spans="1:6" x14ac:dyDescent="0.3">
      <c r="A42">
        <v>10</v>
      </c>
      <c r="B42">
        <v>100</v>
      </c>
      <c r="C42" s="1">
        <v>100.1</v>
      </c>
      <c r="D42" s="1">
        <v>15</v>
      </c>
    </row>
    <row r="43" spans="1:6" x14ac:dyDescent="0.3">
      <c r="A43">
        <v>10</v>
      </c>
      <c r="B43">
        <v>99.95</v>
      </c>
      <c r="C43">
        <v>100.15</v>
      </c>
      <c r="D43">
        <v>50</v>
      </c>
    </row>
    <row r="45" spans="1:6" x14ac:dyDescent="0.3">
      <c r="A45" s="1" t="s">
        <v>0</v>
      </c>
      <c r="B45" s="1"/>
      <c r="C45" s="1"/>
      <c r="D45" s="1"/>
    </row>
    <row r="46" spans="1:6" x14ac:dyDescent="0.3">
      <c r="A46" s="1"/>
      <c r="B46" s="1" t="s">
        <v>30</v>
      </c>
      <c r="C46" s="1"/>
      <c r="D46" s="1"/>
    </row>
    <row r="47" spans="1:6" x14ac:dyDescent="0.3">
      <c r="A47" t="s">
        <v>6</v>
      </c>
      <c r="B47" t="s">
        <v>31</v>
      </c>
      <c r="C47" t="s">
        <v>31</v>
      </c>
      <c r="D47" t="s">
        <v>6</v>
      </c>
    </row>
    <row r="48" spans="1:6" x14ac:dyDescent="0.3">
      <c r="A48">
        <v>10</v>
      </c>
      <c r="B48">
        <v>100</v>
      </c>
      <c r="C48">
        <v>100.15</v>
      </c>
      <c r="D48">
        <v>50</v>
      </c>
      <c r="F48" t="s">
        <v>74</v>
      </c>
    </row>
    <row r="49" spans="1:2" x14ac:dyDescent="0.3">
      <c r="A49">
        <v>10</v>
      </c>
      <c r="B49">
        <v>99.95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42"/>
  <sheetViews>
    <sheetView topLeftCell="A10" zoomScale="150" zoomScaleNormal="150" workbookViewId="0">
      <selection activeCell="D13" sqref="D13:F13"/>
    </sheetView>
  </sheetViews>
  <sheetFormatPr defaultRowHeight="14.4" x14ac:dyDescent="0.3"/>
  <cols>
    <col min="4" max="4" width="12.33203125" customWidth="1"/>
    <col min="5" max="5" width="13.5546875" customWidth="1"/>
  </cols>
  <sheetData>
    <row r="1" spans="1:8" x14ac:dyDescent="0.3">
      <c r="C1" s="1" t="s">
        <v>0</v>
      </c>
    </row>
    <row r="2" spans="1:8" x14ac:dyDescent="0.3">
      <c r="A2" t="s">
        <v>3</v>
      </c>
      <c r="B2" t="s">
        <v>6</v>
      </c>
      <c r="C2" t="s">
        <v>1</v>
      </c>
      <c r="D2" t="s">
        <v>2</v>
      </c>
      <c r="E2" t="s">
        <v>6</v>
      </c>
    </row>
    <row r="3" spans="1:8" x14ac:dyDescent="0.3">
      <c r="A3">
        <v>1</v>
      </c>
      <c r="B3">
        <v>5</v>
      </c>
      <c r="C3" s="4">
        <v>100</v>
      </c>
      <c r="D3">
        <v>100.5</v>
      </c>
      <c r="E3">
        <v>8</v>
      </c>
    </row>
    <row r="4" spans="1:8" x14ac:dyDescent="0.3">
      <c r="A4">
        <v>2</v>
      </c>
      <c r="B4">
        <v>3</v>
      </c>
      <c r="C4">
        <v>99.5</v>
      </c>
      <c r="D4">
        <v>101.5</v>
      </c>
      <c r="E4">
        <v>5</v>
      </c>
    </row>
    <row r="5" spans="1:8" x14ac:dyDescent="0.3">
      <c r="A5">
        <v>3</v>
      </c>
      <c r="B5">
        <v>10</v>
      </c>
      <c r="C5">
        <v>99</v>
      </c>
      <c r="D5">
        <v>102.5</v>
      </c>
      <c r="E5">
        <v>2</v>
      </c>
    </row>
    <row r="6" spans="1:8" x14ac:dyDescent="0.3">
      <c r="A6">
        <v>4</v>
      </c>
      <c r="B6">
        <v>20</v>
      </c>
      <c r="C6">
        <v>98.25</v>
      </c>
      <c r="D6">
        <v>103</v>
      </c>
      <c r="E6">
        <v>15</v>
      </c>
    </row>
    <row r="7" spans="1:8" x14ac:dyDescent="0.3">
      <c r="A7">
        <v>5</v>
      </c>
      <c r="B7">
        <v>5</v>
      </c>
      <c r="C7">
        <v>98</v>
      </c>
    </row>
    <row r="9" spans="1:8" x14ac:dyDescent="0.3">
      <c r="A9" s="1" t="s">
        <v>208</v>
      </c>
    </row>
    <row r="11" spans="1:8" x14ac:dyDescent="0.3">
      <c r="C11" s="1" t="s">
        <v>0</v>
      </c>
    </row>
    <row r="12" spans="1:8" x14ac:dyDescent="0.3">
      <c r="A12" t="s">
        <v>3</v>
      </c>
      <c r="B12" t="s">
        <v>6</v>
      </c>
      <c r="C12" t="s">
        <v>1</v>
      </c>
      <c r="D12" t="s">
        <v>2</v>
      </c>
      <c r="E12" t="s">
        <v>210</v>
      </c>
      <c r="F12" t="s">
        <v>75</v>
      </c>
    </row>
    <row r="13" spans="1:8" x14ac:dyDescent="0.3">
      <c r="A13">
        <v>1</v>
      </c>
      <c r="B13">
        <v>5</v>
      </c>
      <c r="C13" s="1">
        <v>100</v>
      </c>
      <c r="D13" s="1">
        <v>100.05</v>
      </c>
      <c r="E13">
        <v>10</v>
      </c>
      <c r="F13">
        <v>90</v>
      </c>
      <c r="H13" t="s">
        <v>209</v>
      </c>
    </row>
    <row r="14" spans="1:8" x14ac:dyDescent="0.3">
      <c r="A14">
        <v>2</v>
      </c>
      <c r="B14">
        <v>3</v>
      </c>
      <c r="C14">
        <v>99.5</v>
      </c>
      <c r="D14">
        <v>100.5</v>
      </c>
      <c r="E14">
        <v>8</v>
      </c>
    </row>
    <row r="15" spans="1:8" x14ac:dyDescent="0.3">
      <c r="A15">
        <v>3</v>
      </c>
      <c r="B15">
        <v>10</v>
      </c>
      <c r="C15">
        <v>99</v>
      </c>
      <c r="D15">
        <v>101.5</v>
      </c>
      <c r="E15">
        <v>5</v>
      </c>
    </row>
    <row r="16" spans="1:8" x14ac:dyDescent="0.3">
      <c r="A16">
        <v>4</v>
      </c>
      <c r="B16">
        <v>20</v>
      </c>
      <c r="C16">
        <v>98.25</v>
      </c>
      <c r="D16">
        <v>102.5</v>
      </c>
      <c r="E16">
        <v>2</v>
      </c>
    </row>
    <row r="17" spans="1:8" x14ac:dyDescent="0.3">
      <c r="A17">
        <v>5</v>
      </c>
      <c r="B17">
        <v>5</v>
      </c>
      <c r="C17">
        <v>98</v>
      </c>
      <c r="D17">
        <v>103</v>
      </c>
      <c r="E17">
        <v>15</v>
      </c>
    </row>
    <row r="20" spans="1:8" x14ac:dyDescent="0.3">
      <c r="A20" t="s">
        <v>260</v>
      </c>
    </row>
    <row r="21" spans="1:8" x14ac:dyDescent="0.3">
      <c r="A21" s="1" t="s">
        <v>261</v>
      </c>
      <c r="E21" s="8" t="s">
        <v>69</v>
      </c>
      <c r="F21" t="s">
        <v>211</v>
      </c>
    </row>
    <row r="22" spans="1:8" x14ac:dyDescent="0.3">
      <c r="A22" s="47" t="s">
        <v>262</v>
      </c>
    </row>
    <row r="23" spans="1:8" s="46" customFormat="1" x14ac:dyDescent="0.3"/>
    <row r="24" spans="1:8" x14ac:dyDescent="0.3">
      <c r="A24" s="1" t="s">
        <v>194</v>
      </c>
    </row>
    <row r="25" spans="1:8" x14ac:dyDescent="0.3">
      <c r="C25" s="1" t="s">
        <v>0</v>
      </c>
    </row>
    <row r="26" spans="1:8" x14ac:dyDescent="0.3">
      <c r="A26" t="s">
        <v>3</v>
      </c>
      <c r="B26" t="s">
        <v>6</v>
      </c>
      <c r="C26" t="s">
        <v>1</v>
      </c>
      <c r="D26" t="s">
        <v>2</v>
      </c>
      <c r="E26" t="s">
        <v>6</v>
      </c>
      <c r="F26" t="s">
        <v>75</v>
      </c>
    </row>
    <row r="27" spans="1:8" x14ac:dyDescent="0.3">
      <c r="A27">
        <v>1</v>
      </c>
      <c r="B27">
        <v>5</v>
      </c>
      <c r="C27" s="1">
        <v>100</v>
      </c>
      <c r="D27" s="1">
        <v>100.05</v>
      </c>
      <c r="E27">
        <v>0</v>
      </c>
      <c r="F27">
        <v>85</v>
      </c>
      <c r="H27" s="1" t="s">
        <v>212</v>
      </c>
    </row>
    <row r="28" spans="1:8" x14ac:dyDescent="0.3">
      <c r="A28">
        <v>2</v>
      </c>
      <c r="B28">
        <v>3</v>
      </c>
      <c r="C28">
        <v>99.5</v>
      </c>
      <c r="D28">
        <v>100.5</v>
      </c>
      <c r="E28">
        <v>8</v>
      </c>
      <c r="H28" t="s">
        <v>213</v>
      </c>
    </row>
    <row r="29" spans="1:8" x14ac:dyDescent="0.3">
      <c r="A29">
        <v>3</v>
      </c>
      <c r="B29">
        <v>10</v>
      </c>
      <c r="C29">
        <v>99</v>
      </c>
      <c r="D29">
        <v>101.5</v>
      </c>
      <c r="E29">
        <v>5</v>
      </c>
    </row>
    <row r="30" spans="1:8" x14ac:dyDescent="0.3">
      <c r="A30">
        <v>4</v>
      </c>
      <c r="B30">
        <v>20</v>
      </c>
      <c r="C30">
        <v>98.25</v>
      </c>
      <c r="D30">
        <v>102.5</v>
      </c>
      <c r="E30">
        <v>2</v>
      </c>
    </row>
    <row r="31" spans="1:8" x14ac:dyDescent="0.3">
      <c r="A31">
        <v>5</v>
      </c>
      <c r="B31">
        <v>5</v>
      </c>
      <c r="C31">
        <v>98</v>
      </c>
      <c r="D31">
        <v>103</v>
      </c>
      <c r="E31">
        <v>15</v>
      </c>
    </row>
    <row r="35" spans="1:6" x14ac:dyDescent="0.3">
      <c r="A35" s="1" t="s">
        <v>195</v>
      </c>
    </row>
    <row r="36" spans="1:6" x14ac:dyDescent="0.3">
      <c r="C36" s="1" t="s">
        <v>0</v>
      </c>
    </row>
    <row r="37" spans="1:6" x14ac:dyDescent="0.3">
      <c r="A37" t="s">
        <v>3</v>
      </c>
      <c r="B37" t="s">
        <v>6</v>
      </c>
      <c r="C37" t="s">
        <v>1</v>
      </c>
      <c r="D37" t="s">
        <v>2</v>
      </c>
      <c r="E37" t="s">
        <v>6</v>
      </c>
      <c r="F37" t="s">
        <v>75</v>
      </c>
    </row>
    <row r="38" spans="1:6" x14ac:dyDescent="0.3">
      <c r="A38">
        <v>1</v>
      </c>
      <c r="B38">
        <v>5</v>
      </c>
      <c r="C38" s="1">
        <v>100</v>
      </c>
      <c r="D38" s="1">
        <v>100.05</v>
      </c>
      <c r="E38">
        <v>8</v>
      </c>
      <c r="F38">
        <v>77</v>
      </c>
    </row>
    <row r="39" spans="1:6" x14ac:dyDescent="0.3">
      <c r="A39">
        <v>2</v>
      </c>
      <c r="B39">
        <v>3</v>
      </c>
      <c r="C39">
        <v>99.5</v>
      </c>
      <c r="D39">
        <v>100.5</v>
      </c>
      <c r="E39">
        <v>35</v>
      </c>
    </row>
    <row r="40" spans="1:6" x14ac:dyDescent="0.3">
      <c r="A40">
        <v>3</v>
      </c>
      <c r="B40">
        <v>10</v>
      </c>
      <c r="C40">
        <v>99</v>
      </c>
      <c r="D40">
        <v>101.5</v>
      </c>
      <c r="E40">
        <v>5</v>
      </c>
    </row>
    <row r="41" spans="1:6" x14ac:dyDescent="0.3">
      <c r="A41">
        <v>4</v>
      </c>
      <c r="B41">
        <v>20</v>
      </c>
      <c r="C41">
        <v>98.25</v>
      </c>
      <c r="D41">
        <v>102.5</v>
      </c>
      <c r="E41">
        <v>2</v>
      </c>
    </row>
    <row r="42" spans="1:6" x14ac:dyDescent="0.3">
      <c r="A42">
        <v>5</v>
      </c>
      <c r="B42">
        <v>5</v>
      </c>
      <c r="C42">
        <v>98</v>
      </c>
      <c r="D42">
        <v>103</v>
      </c>
      <c r="E42">
        <v>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J43"/>
  <sheetViews>
    <sheetView topLeftCell="A28" zoomScale="150" zoomScaleNormal="150" workbookViewId="0">
      <selection activeCell="H34" sqref="H34"/>
    </sheetView>
  </sheetViews>
  <sheetFormatPr defaultRowHeight="14.4" x14ac:dyDescent="0.3"/>
  <cols>
    <col min="5" max="7" width="9.109375" customWidth="1"/>
  </cols>
  <sheetData>
    <row r="3" spans="1:3" x14ac:dyDescent="0.3">
      <c r="B3" s="1" t="s">
        <v>0</v>
      </c>
    </row>
    <row r="4" spans="1:3" x14ac:dyDescent="0.3">
      <c r="A4" t="s">
        <v>3</v>
      </c>
      <c r="B4" t="s">
        <v>1</v>
      </c>
      <c r="C4" t="s">
        <v>2</v>
      </c>
    </row>
    <row r="5" spans="1:3" x14ac:dyDescent="0.3">
      <c r="A5">
        <v>1</v>
      </c>
      <c r="B5">
        <v>100</v>
      </c>
      <c r="C5">
        <v>100.5</v>
      </c>
    </row>
    <row r="6" spans="1:3" x14ac:dyDescent="0.3">
      <c r="A6">
        <v>2</v>
      </c>
      <c r="B6">
        <v>99.5</v>
      </c>
      <c r="C6">
        <v>101</v>
      </c>
    </row>
    <row r="7" spans="1:3" x14ac:dyDescent="0.3">
      <c r="A7">
        <v>3</v>
      </c>
      <c r="B7">
        <v>99</v>
      </c>
      <c r="C7">
        <v>101.5</v>
      </c>
    </row>
    <row r="8" spans="1:3" x14ac:dyDescent="0.3">
      <c r="A8">
        <v>4</v>
      </c>
      <c r="B8">
        <v>98.25</v>
      </c>
      <c r="C8">
        <v>102.5</v>
      </c>
    </row>
    <row r="9" spans="1:3" x14ac:dyDescent="0.3">
      <c r="A9">
        <v>5</v>
      </c>
      <c r="B9">
        <v>98</v>
      </c>
      <c r="C9">
        <v>103</v>
      </c>
    </row>
    <row r="11" spans="1:3" x14ac:dyDescent="0.3">
      <c r="A11" s="1" t="s">
        <v>89</v>
      </c>
    </row>
    <row r="12" spans="1:3" x14ac:dyDescent="0.3">
      <c r="A12" t="s">
        <v>90</v>
      </c>
    </row>
    <row r="14" spans="1:3" x14ac:dyDescent="0.3">
      <c r="A14" s="1" t="s">
        <v>91</v>
      </c>
    </row>
    <row r="15" spans="1:3" x14ac:dyDescent="0.3">
      <c r="A15" s="4" t="s">
        <v>92</v>
      </c>
    </row>
    <row r="16" spans="1:3" x14ac:dyDescent="0.3">
      <c r="A16" s="4" t="s">
        <v>93</v>
      </c>
    </row>
    <row r="18" spans="1:1" x14ac:dyDescent="0.3">
      <c r="A18" s="1" t="s">
        <v>94</v>
      </c>
    </row>
    <row r="19" spans="1:1" x14ac:dyDescent="0.3">
      <c r="A19" s="4" t="s">
        <v>96</v>
      </c>
    </row>
    <row r="20" spans="1:1" x14ac:dyDescent="0.3">
      <c r="A20" s="4" t="s">
        <v>172</v>
      </c>
    </row>
    <row r="21" spans="1:1" x14ac:dyDescent="0.3">
      <c r="A21" s="1"/>
    </row>
    <row r="22" spans="1:1" x14ac:dyDescent="0.3">
      <c r="A22" s="1" t="s">
        <v>95</v>
      </c>
    </row>
    <row r="23" spans="1:1" x14ac:dyDescent="0.3">
      <c r="A23" s="4" t="s">
        <v>97</v>
      </c>
    </row>
    <row r="25" spans="1:1" x14ac:dyDescent="0.3">
      <c r="A25" s="1" t="s">
        <v>98</v>
      </c>
    </row>
    <row r="26" spans="1:1" x14ac:dyDescent="0.3">
      <c r="A26" s="4" t="s">
        <v>99</v>
      </c>
    </row>
    <row r="27" spans="1:1" x14ac:dyDescent="0.3">
      <c r="A27" s="4" t="s">
        <v>100</v>
      </c>
    </row>
    <row r="29" spans="1:1" x14ac:dyDescent="0.3">
      <c r="A29" s="1" t="s">
        <v>94</v>
      </c>
    </row>
    <row r="30" spans="1:1" x14ac:dyDescent="0.3">
      <c r="A30" s="4" t="s">
        <v>101</v>
      </c>
    </row>
    <row r="31" spans="1:1" x14ac:dyDescent="0.3">
      <c r="A31" s="4" t="s">
        <v>173</v>
      </c>
    </row>
    <row r="34" spans="1:10" x14ac:dyDescent="0.3">
      <c r="B34" t="s">
        <v>102</v>
      </c>
    </row>
    <row r="35" spans="1:10" x14ac:dyDescent="0.3">
      <c r="B35" s="1" t="s">
        <v>0</v>
      </c>
      <c r="G35" s="1" t="s">
        <v>0</v>
      </c>
    </row>
    <row r="36" spans="1:10" x14ac:dyDescent="0.3">
      <c r="A36" t="s">
        <v>3</v>
      </c>
      <c r="B36" t="s">
        <v>1</v>
      </c>
      <c r="C36" t="s">
        <v>2</v>
      </c>
      <c r="F36" t="s">
        <v>3</v>
      </c>
      <c r="G36" t="s">
        <v>1</v>
      </c>
      <c r="H36" t="s">
        <v>2</v>
      </c>
    </row>
    <row r="37" spans="1:10" x14ac:dyDescent="0.3">
      <c r="A37">
        <v>1</v>
      </c>
      <c r="B37">
        <v>100</v>
      </c>
      <c r="C37">
        <v>100.5</v>
      </c>
      <c r="F37">
        <v>1</v>
      </c>
      <c r="G37">
        <v>100.2</v>
      </c>
      <c r="H37">
        <v>100.5</v>
      </c>
      <c r="J37" s="1" t="s">
        <v>103</v>
      </c>
    </row>
    <row r="38" spans="1:10" x14ac:dyDescent="0.3">
      <c r="A38">
        <v>2</v>
      </c>
      <c r="B38">
        <v>99.55</v>
      </c>
      <c r="C38">
        <v>101</v>
      </c>
      <c r="F38">
        <v>2</v>
      </c>
      <c r="G38">
        <v>100</v>
      </c>
      <c r="H38">
        <v>101</v>
      </c>
    </row>
    <row r="39" spans="1:10" x14ac:dyDescent="0.3">
      <c r="A39">
        <v>3</v>
      </c>
      <c r="B39">
        <v>99.5</v>
      </c>
      <c r="C39">
        <v>101.5</v>
      </c>
      <c r="F39">
        <v>3</v>
      </c>
      <c r="G39" s="7">
        <v>99.55</v>
      </c>
      <c r="H39">
        <v>101.5</v>
      </c>
    </row>
    <row r="40" spans="1:10" x14ac:dyDescent="0.3">
      <c r="A40">
        <v>4</v>
      </c>
      <c r="B40">
        <v>99</v>
      </c>
      <c r="C40">
        <v>102.5</v>
      </c>
      <c r="F40">
        <v>4</v>
      </c>
      <c r="G40">
        <v>99.5</v>
      </c>
      <c r="H40">
        <v>102.5</v>
      </c>
    </row>
    <row r="41" spans="1:10" x14ac:dyDescent="0.3">
      <c r="A41">
        <v>5</v>
      </c>
      <c r="B41">
        <v>98.25</v>
      </c>
      <c r="C41">
        <v>103</v>
      </c>
      <c r="F41">
        <v>5</v>
      </c>
      <c r="G41">
        <v>99</v>
      </c>
      <c r="H41">
        <v>103</v>
      </c>
    </row>
    <row r="42" spans="1:10" x14ac:dyDescent="0.3">
      <c r="B42">
        <v>98</v>
      </c>
      <c r="G42">
        <v>98.25</v>
      </c>
    </row>
    <row r="43" spans="1:10" x14ac:dyDescent="0.3">
      <c r="G43">
        <v>98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I78"/>
  <sheetViews>
    <sheetView topLeftCell="A46" zoomScale="170" zoomScaleNormal="170" workbookViewId="0">
      <selection activeCell="D59" sqref="D59"/>
    </sheetView>
  </sheetViews>
  <sheetFormatPr defaultRowHeight="14.4" x14ac:dyDescent="0.3"/>
  <cols>
    <col min="4" max="4" width="10.5546875" customWidth="1"/>
    <col min="6" max="6" width="20.109375" customWidth="1"/>
    <col min="7" max="7" width="14.109375" customWidth="1"/>
  </cols>
  <sheetData>
    <row r="3" spans="1:7" x14ac:dyDescent="0.3">
      <c r="B3" s="1" t="s">
        <v>0</v>
      </c>
      <c r="C3" s="1"/>
    </row>
    <row r="4" spans="1:7" x14ac:dyDescent="0.3">
      <c r="A4" t="s">
        <v>3</v>
      </c>
      <c r="B4" t="s">
        <v>1</v>
      </c>
      <c r="D4" t="s">
        <v>2</v>
      </c>
    </row>
    <row r="5" spans="1:7" x14ac:dyDescent="0.3">
      <c r="A5">
        <v>1</v>
      </c>
      <c r="B5">
        <v>100</v>
      </c>
      <c r="D5">
        <v>100.5</v>
      </c>
    </row>
    <row r="6" spans="1:7" x14ac:dyDescent="0.3">
      <c r="A6">
        <v>2</v>
      </c>
      <c r="B6">
        <v>99.5</v>
      </c>
      <c r="D6">
        <v>101</v>
      </c>
      <c r="G6" s="3"/>
    </row>
    <row r="7" spans="1:7" x14ac:dyDescent="0.3">
      <c r="A7">
        <v>3</v>
      </c>
      <c r="B7">
        <v>99</v>
      </c>
      <c r="D7">
        <v>101.5</v>
      </c>
      <c r="G7" s="3"/>
    </row>
    <row r="8" spans="1:7" x14ac:dyDescent="0.3">
      <c r="A8">
        <v>4</v>
      </c>
      <c r="B8">
        <v>98.25</v>
      </c>
      <c r="D8">
        <v>102.5</v>
      </c>
    </row>
    <row r="9" spans="1:7" x14ac:dyDescent="0.3">
      <c r="A9">
        <v>5</v>
      </c>
      <c r="B9">
        <v>98</v>
      </c>
      <c r="D9">
        <v>103</v>
      </c>
    </row>
    <row r="11" spans="1:7" x14ac:dyDescent="0.3">
      <c r="A11" s="1" t="s">
        <v>124</v>
      </c>
    </row>
    <row r="12" spans="1:7" x14ac:dyDescent="0.3">
      <c r="A12" s="2" t="s">
        <v>174</v>
      </c>
    </row>
    <row r="13" spans="1:7" x14ac:dyDescent="0.3">
      <c r="A13" s="2"/>
    </row>
    <row r="14" spans="1:7" x14ac:dyDescent="0.3">
      <c r="A14" s="2" t="s">
        <v>125</v>
      </c>
    </row>
    <row r="15" spans="1:7" x14ac:dyDescent="0.3">
      <c r="A15" s="3" t="s">
        <v>126</v>
      </c>
    </row>
    <row r="17" spans="1:6" x14ac:dyDescent="0.3">
      <c r="A17" t="s">
        <v>4</v>
      </c>
      <c r="D17" s="1" t="s">
        <v>0</v>
      </c>
    </row>
    <row r="18" spans="1:6" x14ac:dyDescent="0.3">
      <c r="B18" t="s">
        <v>3</v>
      </c>
      <c r="D18" t="s">
        <v>1</v>
      </c>
      <c r="E18" t="s">
        <v>2</v>
      </c>
      <c r="F18" t="s">
        <v>127</v>
      </c>
    </row>
    <row r="19" spans="1:6" x14ac:dyDescent="0.3">
      <c r="B19">
        <v>1</v>
      </c>
      <c r="D19" s="1">
        <v>100</v>
      </c>
      <c r="E19" s="1">
        <v>100.5</v>
      </c>
      <c r="F19" t="s">
        <v>175</v>
      </c>
    </row>
    <row r="20" spans="1:6" x14ac:dyDescent="0.3">
      <c r="B20">
        <v>2</v>
      </c>
      <c r="D20">
        <v>99.75</v>
      </c>
      <c r="E20">
        <v>100.5</v>
      </c>
    </row>
    <row r="21" spans="1:6" x14ac:dyDescent="0.3">
      <c r="B21">
        <v>3</v>
      </c>
      <c r="D21">
        <v>99.5</v>
      </c>
      <c r="E21">
        <v>101</v>
      </c>
    </row>
    <row r="22" spans="1:6" x14ac:dyDescent="0.3">
      <c r="B22">
        <v>4</v>
      </c>
      <c r="D22">
        <v>99</v>
      </c>
      <c r="E22">
        <v>101.5</v>
      </c>
    </row>
    <row r="23" spans="1:6" x14ac:dyDescent="0.3">
      <c r="B23">
        <v>5</v>
      </c>
      <c r="D23">
        <v>98.25</v>
      </c>
      <c r="E23">
        <v>102.5</v>
      </c>
    </row>
    <row r="24" spans="1:6" x14ac:dyDescent="0.3">
      <c r="D24">
        <v>98</v>
      </c>
      <c r="E24">
        <v>103</v>
      </c>
    </row>
    <row r="25" spans="1:6" x14ac:dyDescent="0.3">
      <c r="A25" s="24">
        <v>0.4201388888888889</v>
      </c>
    </row>
    <row r="26" spans="1:6" x14ac:dyDescent="0.3">
      <c r="D26" s="1" t="s">
        <v>0</v>
      </c>
    </row>
    <row r="27" spans="1:6" x14ac:dyDescent="0.3">
      <c r="B27" t="s">
        <v>3</v>
      </c>
      <c r="D27" t="s">
        <v>1</v>
      </c>
      <c r="E27" t="s">
        <v>2</v>
      </c>
    </row>
    <row r="28" spans="1:6" x14ac:dyDescent="0.3">
      <c r="B28">
        <v>1</v>
      </c>
      <c r="D28">
        <v>100</v>
      </c>
      <c r="E28">
        <v>100.1</v>
      </c>
    </row>
    <row r="29" spans="1:6" x14ac:dyDescent="0.3">
      <c r="B29">
        <v>2</v>
      </c>
      <c r="D29">
        <v>99.75</v>
      </c>
      <c r="E29">
        <v>100.5</v>
      </c>
    </row>
    <row r="30" spans="1:6" x14ac:dyDescent="0.3">
      <c r="B30">
        <v>3</v>
      </c>
      <c r="D30">
        <v>99.5</v>
      </c>
      <c r="E30">
        <v>101</v>
      </c>
    </row>
    <row r="31" spans="1:6" x14ac:dyDescent="0.3">
      <c r="B31">
        <v>4</v>
      </c>
      <c r="D31">
        <v>99</v>
      </c>
      <c r="E31">
        <v>101.5</v>
      </c>
    </row>
    <row r="32" spans="1:6" x14ac:dyDescent="0.3">
      <c r="B32">
        <v>5</v>
      </c>
      <c r="D32">
        <v>98.25</v>
      </c>
      <c r="E32">
        <v>102.5</v>
      </c>
    </row>
    <row r="33" spans="1:5" x14ac:dyDescent="0.3">
      <c r="D33">
        <v>98</v>
      </c>
      <c r="E33">
        <v>103</v>
      </c>
    </row>
    <row r="35" spans="1:5" x14ac:dyDescent="0.3">
      <c r="A35" s="1" t="s">
        <v>128</v>
      </c>
    </row>
    <row r="36" spans="1:5" x14ac:dyDescent="0.3">
      <c r="A36" s="1"/>
    </row>
    <row r="37" spans="1:5" x14ac:dyDescent="0.3">
      <c r="A37" s="1"/>
    </row>
    <row r="38" spans="1:5" x14ac:dyDescent="0.3">
      <c r="A38" s="1" t="s">
        <v>149</v>
      </c>
    </row>
    <row r="39" spans="1:5" x14ac:dyDescent="0.3">
      <c r="A39" s="36" t="s">
        <v>129</v>
      </c>
      <c r="B39" s="7"/>
      <c r="C39" s="7"/>
      <c r="D39" s="7"/>
    </row>
    <row r="41" spans="1:5" x14ac:dyDescent="0.3">
      <c r="A41" t="s">
        <v>130</v>
      </c>
      <c r="D41" s="1"/>
    </row>
    <row r="43" spans="1:5" x14ac:dyDescent="0.3">
      <c r="A43" t="s">
        <v>131</v>
      </c>
      <c r="D43" s="1"/>
      <c r="E43" s="1"/>
    </row>
    <row r="46" spans="1:5" x14ac:dyDescent="0.3">
      <c r="A46" s="1" t="s">
        <v>132</v>
      </c>
    </row>
    <row r="47" spans="1:5" x14ac:dyDescent="0.3">
      <c r="A47" s="1" t="s">
        <v>214</v>
      </c>
    </row>
    <row r="48" spans="1:5" x14ac:dyDescent="0.3">
      <c r="A48" s="1"/>
    </row>
    <row r="49" spans="1:9" x14ac:dyDescent="0.3">
      <c r="A49" s="1" t="s">
        <v>134</v>
      </c>
    </row>
    <row r="50" spans="1:9" x14ac:dyDescent="0.3">
      <c r="A50" s="1" t="s">
        <v>136</v>
      </c>
      <c r="D50" t="s">
        <v>137</v>
      </c>
    </row>
    <row r="51" spans="1:9" x14ac:dyDescent="0.3">
      <c r="B51" s="1"/>
    </row>
    <row r="52" spans="1:9" x14ac:dyDescent="0.3">
      <c r="D52" s="1"/>
    </row>
    <row r="53" spans="1:9" x14ac:dyDescent="0.3">
      <c r="A53" s="15" t="s">
        <v>133</v>
      </c>
      <c r="B53" s="7"/>
      <c r="C53" s="7"/>
      <c r="D53" s="7"/>
      <c r="E53" s="7"/>
    </row>
    <row r="54" spans="1:9" x14ac:dyDescent="0.3">
      <c r="A54" s="7" t="s">
        <v>135</v>
      </c>
      <c r="B54" s="7"/>
      <c r="C54" s="7"/>
      <c r="D54" s="7"/>
      <c r="E54" s="7"/>
      <c r="G54" s="1" t="s">
        <v>176</v>
      </c>
      <c r="H54" s="1" t="s">
        <v>178</v>
      </c>
      <c r="I54" s="1" t="s">
        <v>145</v>
      </c>
    </row>
    <row r="55" spans="1:9" x14ac:dyDescent="0.3">
      <c r="A55" s="25" t="s">
        <v>138</v>
      </c>
      <c r="B55" s="7"/>
      <c r="C55" s="25" t="s">
        <v>139</v>
      </c>
      <c r="D55" s="7"/>
      <c r="E55" s="7"/>
      <c r="G55" t="s">
        <v>177</v>
      </c>
      <c r="H55">
        <v>0.5</v>
      </c>
      <c r="I55">
        <v>0.125</v>
      </c>
    </row>
    <row r="56" spans="1:9" x14ac:dyDescent="0.3">
      <c r="A56" s="26"/>
    </row>
    <row r="57" spans="1:9" x14ac:dyDescent="0.3">
      <c r="A57" s="1" t="s">
        <v>140</v>
      </c>
      <c r="D57" s="1"/>
      <c r="G57" s="1" t="s">
        <v>176</v>
      </c>
      <c r="H57" s="1" t="s">
        <v>178</v>
      </c>
      <c r="I57" s="1" t="s">
        <v>145</v>
      </c>
    </row>
    <row r="58" spans="1:9" x14ac:dyDescent="0.3">
      <c r="A58" t="s">
        <v>135</v>
      </c>
      <c r="G58" t="s">
        <v>179</v>
      </c>
      <c r="H58">
        <v>1</v>
      </c>
      <c r="I58" s="19">
        <v>0.15</v>
      </c>
    </row>
    <row r="59" spans="1:9" x14ac:dyDescent="0.3">
      <c r="A59" s="8" t="s">
        <v>141</v>
      </c>
      <c r="C59" s="23" t="s">
        <v>142</v>
      </c>
    </row>
    <row r="63" spans="1:9" x14ac:dyDescent="0.3">
      <c r="B63" s="46" t="s">
        <v>4</v>
      </c>
      <c r="C63" s="46"/>
      <c r="D63" s="46"/>
      <c r="E63" s="47" t="s">
        <v>0</v>
      </c>
      <c r="F63" s="46"/>
    </row>
    <row r="64" spans="1:9" x14ac:dyDescent="0.3">
      <c r="B64" s="46"/>
      <c r="C64" s="46" t="s">
        <v>3</v>
      </c>
      <c r="D64" s="46"/>
      <c r="E64" s="46" t="s">
        <v>1</v>
      </c>
      <c r="F64" s="46" t="s">
        <v>2</v>
      </c>
    </row>
    <row r="65" spans="1:7" x14ac:dyDescent="0.3">
      <c r="B65" s="46"/>
      <c r="C65">
        <v>1</v>
      </c>
      <c r="E65">
        <v>100.1</v>
      </c>
      <c r="F65" s="4">
        <v>100.5</v>
      </c>
    </row>
    <row r="66" spans="1:7" x14ac:dyDescent="0.3">
      <c r="B66" s="46"/>
      <c r="C66" s="46">
        <f>C65+1</f>
        <v>2</v>
      </c>
      <c r="D66" s="46"/>
      <c r="E66" s="4">
        <v>100</v>
      </c>
      <c r="F66" s="46">
        <v>100.5</v>
      </c>
    </row>
    <row r="67" spans="1:7" x14ac:dyDescent="0.3">
      <c r="B67" s="46"/>
      <c r="C67" s="46">
        <f t="shared" ref="C67:C70" si="0">C66+1</f>
        <v>3</v>
      </c>
      <c r="D67" s="46"/>
      <c r="E67" s="46">
        <v>99.75</v>
      </c>
      <c r="F67" s="46">
        <v>101</v>
      </c>
    </row>
    <row r="68" spans="1:7" x14ac:dyDescent="0.3">
      <c r="B68" s="46"/>
      <c r="C68" s="46">
        <f t="shared" si="0"/>
        <v>4</v>
      </c>
      <c r="D68" s="46"/>
      <c r="E68" s="46">
        <v>99.5</v>
      </c>
      <c r="F68" s="46">
        <v>101.5</v>
      </c>
    </row>
    <row r="69" spans="1:7" x14ac:dyDescent="0.3">
      <c r="B69" s="46"/>
      <c r="C69" s="46">
        <f t="shared" si="0"/>
        <v>5</v>
      </c>
      <c r="D69" s="46"/>
      <c r="E69" s="46">
        <v>99</v>
      </c>
      <c r="F69" s="46">
        <v>102.5</v>
      </c>
    </row>
    <row r="70" spans="1:7" x14ac:dyDescent="0.3">
      <c r="B70" s="46"/>
      <c r="C70" s="46">
        <f t="shared" si="0"/>
        <v>6</v>
      </c>
      <c r="D70" s="46"/>
      <c r="E70" s="46">
        <v>98.25</v>
      </c>
      <c r="F70" s="46">
        <v>103</v>
      </c>
    </row>
    <row r="71" spans="1:7" x14ac:dyDescent="0.3">
      <c r="C71" s="46"/>
      <c r="D71" s="46"/>
      <c r="E71" s="46">
        <v>98</v>
      </c>
    </row>
    <row r="72" spans="1:7" x14ac:dyDescent="0.3">
      <c r="A72" s="47" t="s">
        <v>252</v>
      </c>
      <c r="B72" s="46"/>
      <c r="C72" s="46"/>
      <c r="D72" s="47"/>
    </row>
    <row r="73" spans="1:7" x14ac:dyDescent="0.3">
      <c r="A73" s="46" t="s">
        <v>135</v>
      </c>
      <c r="B73" s="46"/>
      <c r="C73" s="46"/>
      <c r="D73" s="46"/>
      <c r="G73" s="47" t="s">
        <v>251</v>
      </c>
    </row>
    <row r="74" spans="1:7" x14ac:dyDescent="0.3">
      <c r="A74" s="48" t="s">
        <v>254</v>
      </c>
      <c r="B74" s="46"/>
      <c r="C74" s="23" t="s">
        <v>255</v>
      </c>
      <c r="D74" s="46"/>
      <c r="G74" t="s">
        <v>179</v>
      </c>
    </row>
    <row r="76" spans="1:7" x14ac:dyDescent="0.3">
      <c r="A76" s="47" t="s">
        <v>253</v>
      </c>
      <c r="B76" s="46"/>
      <c r="C76" s="46"/>
      <c r="D76" s="47"/>
      <c r="E76" s="46"/>
      <c r="F76" s="46"/>
      <c r="G76" s="46"/>
    </row>
    <row r="77" spans="1:7" x14ac:dyDescent="0.3">
      <c r="A77" s="46" t="s">
        <v>135</v>
      </c>
      <c r="B77" s="46"/>
      <c r="C77" s="46"/>
      <c r="D77" s="46"/>
      <c r="E77" s="46"/>
      <c r="F77" s="46"/>
      <c r="G77" s="47" t="s">
        <v>251</v>
      </c>
    </row>
    <row r="78" spans="1:7" x14ac:dyDescent="0.3">
      <c r="A78" s="48" t="s">
        <v>138</v>
      </c>
      <c r="B78" s="46"/>
      <c r="C78" s="23" t="s">
        <v>139</v>
      </c>
      <c r="D78" s="46"/>
      <c r="E78" s="46"/>
      <c r="F78" s="46"/>
      <c r="G78" s="46" t="s">
        <v>177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35"/>
  <sheetViews>
    <sheetView tabSelected="1" topLeftCell="A16" zoomScale="150" zoomScaleNormal="150" workbookViewId="0">
      <selection activeCell="I34" sqref="I34"/>
    </sheetView>
  </sheetViews>
  <sheetFormatPr defaultRowHeight="14.4" x14ac:dyDescent="0.3"/>
  <cols>
    <col min="7" max="7" width="15.88671875" customWidth="1"/>
  </cols>
  <sheetData>
    <row r="1" spans="1:13" x14ac:dyDescent="0.3">
      <c r="A1" s="1" t="s">
        <v>264</v>
      </c>
    </row>
    <row r="2" spans="1:13" x14ac:dyDescent="0.3">
      <c r="A2" t="s">
        <v>7</v>
      </c>
    </row>
    <row r="3" spans="1:13" x14ac:dyDescent="0.3">
      <c r="C3" s="1" t="s">
        <v>0</v>
      </c>
      <c r="K3" s="1"/>
    </row>
    <row r="4" spans="1:13" x14ac:dyDescent="0.3">
      <c r="A4" t="s">
        <v>3</v>
      </c>
      <c r="B4" t="s">
        <v>6</v>
      </c>
      <c r="C4" t="s">
        <v>1</v>
      </c>
      <c r="D4" t="s">
        <v>2</v>
      </c>
      <c r="E4" t="s">
        <v>6</v>
      </c>
    </row>
    <row r="5" spans="1:13" x14ac:dyDescent="0.3">
      <c r="A5">
        <v>1</v>
      </c>
      <c r="B5" s="5">
        <v>2</v>
      </c>
      <c r="C5" s="1">
        <v>100</v>
      </c>
      <c r="D5" s="1">
        <v>100.5</v>
      </c>
      <c r="E5">
        <v>15</v>
      </c>
      <c r="L5" s="1"/>
    </row>
    <row r="6" spans="1:13" x14ac:dyDescent="0.3">
      <c r="A6">
        <v>2</v>
      </c>
      <c r="B6" s="5">
        <v>6</v>
      </c>
      <c r="C6">
        <v>99.5</v>
      </c>
      <c r="D6">
        <v>101</v>
      </c>
      <c r="E6">
        <v>35</v>
      </c>
      <c r="L6" s="4"/>
      <c r="M6" s="4"/>
    </row>
    <row r="7" spans="1:13" x14ac:dyDescent="0.3">
      <c r="A7">
        <v>3</v>
      </c>
      <c r="B7" s="5">
        <v>12</v>
      </c>
      <c r="C7">
        <v>99</v>
      </c>
      <c r="D7">
        <v>101.5</v>
      </c>
      <c r="E7">
        <v>5</v>
      </c>
    </row>
    <row r="8" spans="1:13" x14ac:dyDescent="0.3">
      <c r="A8">
        <v>4</v>
      </c>
      <c r="B8">
        <v>20</v>
      </c>
      <c r="C8">
        <v>98.25</v>
      </c>
      <c r="D8">
        <v>102.5</v>
      </c>
      <c r="E8">
        <v>2</v>
      </c>
    </row>
    <row r="9" spans="1:13" x14ac:dyDescent="0.3">
      <c r="A9">
        <v>5</v>
      </c>
      <c r="B9">
        <v>5</v>
      </c>
      <c r="C9">
        <v>98</v>
      </c>
      <c r="D9">
        <v>103</v>
      </c>
      <c r="E9">
        <v>15</v>
      </c>
    </row>
    <row r="11" spans="1:13" x14ac:dyDescent="0.3">
      <c r="A11" t="s">
        <v>22</v>
      </c>
    </row>
    <row r="12" spans="1:13" x14ac:dyDescent="0.3">
      <c r="A12" t="s">
        <v>4</v>
      </c>
    </row>
    <row r="13" spans="1:13" x14ac:dyDescent="0.3">
      <c r="A13" s="1" t="s">
        <v>263</v>
      </c>
    </row>
    <row r="14" spans="1:13" x14ac:dyDescent="0.3">
      <c r="A14" s="1" t="s">
        <v>63</v>
      </c>
    </row>
    <row r="16" spans="1:13" x14ac:dyDescent="0.3">
      <c r="C16" s="1" t="s">
        <v>0</v>
      </c>
    </row>
    <row r="17" spans="1:9" x14ac:dyDescent="0.3">
      <c r="A17" t="s">
        <v>3</v>
      </c>
      <c r="B17" t="s">
        <v>6</v>
      </c>
      <c r="C17" t="s">
        <v>1</v>
      </c>
      <c r="D17" t="s">
        <v>2</v>
      </c>
      <c r="E17" t="s">
        <v>6</v>
      </c>
    </row>
    <row r="18" spans="1:9" x14ac:dyDescent="0.3">
      <c r="A18">
        <v>1</v>
      </c>
      <c r="B18">
        <v>1</v>
      </c>
      <c r="C18" s="1">
        <v>100</v>
      </c>
      <c r="D18" s="1">
        <v>100.5</v>
      </c>
      <c r="E18">
        <v>15</v>
      </c>
      <c r="G18" s="1" t="s">
        <v>23</v>
      </c>
      <c r="I18" s="8" t="s">
        <v>60</v>
      </c>
    </row>
    <row r="19" spans="1:9" x14ac:dyDescent="0.3">
      <c r="A19">
        <v>2</v>
      </c>
      <c r="B19">
        <v>3</v>
      </c>
      <c r="C19">
        <v>99.5</v>
      </c>
      <c r="D19">
        <v>101</v>
      </c>
      <c r="E19">
        <v>35</v>
      </c>
      <c r="G19" s="1" t="s">
        <v>24</v>
      </c>
      <c r="I19" t="s">
        <v>61</v>
      </c>
    </row>
    <row r="20" spans="1:9" x14ac:dyDescent="0.3">
      <c r="A20">
        <v>3</v>
      </c>
      <c r="B20">
        <v>6</v>
      </c>
      <c r="C20">
        <v>99</v>
      </c>
      <c r="D20">
        <v>101.5</v>
      </c>
      <c r="E20">
        <v>5</v>
      </c>
      <c r="G20" s="1" t="s">
        <v>25</v>
      </c>
      <c r="I20" t="s">
        <v>62</v>
      </c>
    </row>
    <row r="21" spans="1:9" x14ac:dyDescent="0.3">
      <c r="A21">
        <v>4</v>
      </c>
      <c r="B21">
        <v>20</v>
      </c>
      <c r="C21">
        <v>98.25</v>
      </c>
      <c r="D21">
        <v>102.5</v>
      </c>
      <c r="E21">
        <v>2</v>
      </c>
    </row>
    <row r="22" spans="1:9" s="20" customFormat="1" x14ac:dyDescent="0.3">
      <c r="A22" s="20">
        <v>5</v>
      </c>
      <c r="B22" s="20">
        <v>5</v>
      </c>
      <c r="C22" s="20">
        <v>98</v>
      </c>
      <c r="D22" s="20">
        <v>103</v>
      </c>
      <c r="E22" s="20">
        <v>15</v>
      </c>
    </row>
    <row r="23" spans="1:9" s="20" customFormat="1" x14ac:dyDescent="0.3"/>
    <row r="24" spans="1:9" s="20" customFormat="1" x14ac:dyDescent="0.3"/>
    <row r="25" spans="1:9" s="20" customFormat="1" x14ac:dyDescent="0.3">
      <c r="A25" s="20" t="s">
        <v>64</v>
      </c>
    </row>
    <row r="26" spans="1:9" s="20" customFormat="1" x14ac:dyDescent="0.3">
      <c r="A26" s="20" t="s">
        <v>4</v>
      </c>
    </row>
    <row r="27" spans="1:9" s="20" customFormat="1" x14ac:dyDescent="0.3"/>
    <row r="28" spans="1:9" s="20" customFormat="1" x14ac:dyDescent="0.3">
      <c r="C28" s="21" t="s">
        <v>0</v>
      </c>
    </row>
    <row r="29" spans="1:9" s="20" customFormat="1" x14ac:dyDescent="0.3">
      <c r="A29" s="20" t="s">
        <v>3</v>
      </c>
      <c r="B29" s="20" t="s">
        <v>6</v>
      </c>
      <c r="C29" s="20" t="s">
        <v>1</v>
      </c>
      <c r="D29" s="20" t="s">
        <v>2</v>
      </c>
      <c r="E29" s="20" t="s">
        <v>6</v>
      </c>
    </row>
    <row r="30" spans="1:9" s="20" customFormat="1" x14ac:dyDescent="0.3">
      <c r="A30" s="20">
        <v>1</v>
      </c>
      <c r="B30" s="20">
        <v>1</v>
      </c>
      <c r="C30" s="21">
        <v>100</v>
      </c>
      <c r="D30" s="21">
        <v>100.5</v>
      </c>
      <c r="E30" s="20">
        <v>15</v>
      </c>
      <c r="G30" s="21" t="s">
        <v>67</v>
      </c>
      <c r="I30" s="22" t="s">
        <v>65</v>
      </c>
    </row>
    <row r="31" spans="1:9" s="20" customFormat="1" x14ac:dyDescent="0.3">
      <c r="A31" s="20">
        <v>2</v>
      </c>
      <c r="B31" s="20">
        <v>3</v>
      </c>
      <c r="C31" s="20">
        <v>99.5</v>
      </c>
      <c r="D31" s="20">
        <v>101</v>
      </c>
      <c r="E31" s="20">
        <v>35</v>
      </c>
      <c r="G31" s="21" t="s">
        <v>68</v>
      </c>
      <c r="I31" s="20" t="s">
        <v>66</v>
      </c>
    </row>
    <row r="32" spans="1:9" s="20" customFormat="1" x14ac:dyDescent="0.3">
      <c r="A32" s="20">
        <v>3</v>
      </c>
      <c r="B32" s="20">
        <v>12</v>
      </c>
      <c r="C32" s="20">
        <v>99</v>
      </c>
      <c r="D32" s="20">
        <v>101.5</v>
      </c>
      <c r="E32" s="20">
        <v>5</v>
      </c>
      <c r="G32" s="21"/>
    </row>
    <row r="33" spans="1:5" s="20" customFormat="1" x14ac:dyDescent="0.3">
      <c r="A33" s="20">
        <v>4</v>
      </c>
      <c r="B33" s="20">
        <v>20</v>
      </c>
      <c r="C33" s="20">
        <v>98.25</v>
      </c>
      <c r="D33" s="20">
        <v>102.5</v>
      </c>
      <c r="E33" s="20">
        <v>2</v>
      </c>
    </row>
    <row r="34" spans="1:5" s="20" customFormat="1" x14ac:dyDescent="0.3">
      <c r="A34" s="20">
        <v>5</v>
      </c>
      <c r="B34" s="20">
        <v>5</v>
      </c>
      <c r="C34" s="20">
        <v>98</v>
      </c>
      <c r="D34" s="20">
        <v>103</v>
      </c>
      <c r="E34" s="20">
        <v>15</v>
      </c>
    </row>
    <row r="35" spans="1:5" s="20" customForma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In class</vt:lpstr>
      <vt:lpstr>Order Routing</vt:lpstr>
      <vt:lpstr>Exchange</vt:lpstr>
      <vt:lpstr>Orderbook</vt:lpstr>
      <vt:lpstr>Price-Time priority</vt:lpstr>
      <vt:lpstr>Orderbook Structure</vt:lpstr>
      <vt:lpstr>Prob of fill</vt:lpstr>
      <vt:lpstr>Market Order</vt:lpstr>
      <vt:lpstr>Limit Order</vt:lpstr>
      <vt:lpstr>Stop Loss</vt:lpstr>
      <vt:lpstr>IOC</vt:lpstr>
      <vt:lpstr>Iceberg</vt:lpstr>
      <vt:lpstr>Pegging</vt:lpstr>
      <vt:lpstr>Discretion</vt:lpstr>
      <vt:lpstr>Pro-Rata basis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omdes</cp:lastModifiedBy>
  <dcterms:created xsi:type="dcterms:W3CDTF">2018-10-20T05:07:00Z</dcterms:created>
  <dcterms:modified xsi:type="dcterms:W3CDTF">2025-04-27T16:11:01Z</dcterms:modified>
</cp:coreProperties>
</file>